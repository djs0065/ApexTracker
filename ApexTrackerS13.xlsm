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F923D73F-402E-4B27-AB7F-832B316F016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  <sheet name="Graphs" sheetId="3" r:id="rId2"/>
    <sheet name="Calculations" sheetId="2" state="hidden" r:id="rId3"/>
  </sheets>
  <definedNames>
    <definedName name="DayEnd">OFFSET(Calculations!$Q$2,0, 0, COUNT(Calculations!$Q:$Q), 1)</definedName>
    <definedName name="Games">OFFSET(Data!$C$4,0,0,COUNT(Data!$C$4:$C$999),1)</definedName>
    <definedName name="GamesShifted1">OFFSET([0]!Games, 1, 0)</definedName>
    <definedName name="MyAssists">OFFSET(Data!$I$5, 0, 0, COUNT(Data!$I$5:$I$999), 1)</definedName>
    <definedName name="MyDamage">OFFSET(Data!$G$5, 0, 0, COUNT(Data!$G$5:$G$999), 1)</definedName>
    <definedName name="MyKA">OFFSET(Calculations!$W$3, 0, 0, COUNT(Calculations!$W$3:$W$999), 1)</definedName>
    <definedName name="MyKills">OFFSET(Data!$H$5, 0, 0, COUNT(Data!$H$5:$H$999), 1)</definedName>
    <definedName name="Player1Assists">OFFSET(Data!$N$5, 0, 0, COUNT(Data!$N$5:$N$999), 1)</definedName>
    <definedName name="Player1Damage">OFFSET(Data!$L$5, 0, 0, COUNT(Data!$L$5:$L$999), 1)</definedName>
    <definedName name="Player1KA">OFFSET(MyKA, 0, 1)</definedName>
    <definedName name="Player1Kills">OFFSET(Data!$M$5, 0, 0, COUNT(Data!$M$5:$M$999), 1)</definedName>
    <definedName name="Player2Assists">OFFSET(Data!$R$5, 0, 0, COUNT(Data!$R$5:$R$999), 1)</definedName>
    <definedName name="Player2Damage">OFFSET(Data!$P$5, 0, 0, COUNT(Data!$P$5:$P$999), 1)</definedName>
    <definedName name="Player2KA">OFFSET(MyKA, 0, 2)</definedName>
    <definedName name="Player2Kills">OFFSET(Data!$Q$5, 0, 0, COUNT(Data!$Q$5:$Q$999), 1)</definedName>
    <definedName name="RP">OFFSET(Data!$D$4,0,0,COUNT(Data!$D$4:$D$999),1)</definedName>
    <definedName name="Verts">OFFSET([0]!DayEnd, 0,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2" l="1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" i="2"/>
  <c r="B5" i="1"/>
  <c r="B6" i="1"/>
  <c r="B7" i="1"/>
  <c r="K1" i="2" a="1"/>
  <c r="K1" i="2" s="1"/>
  <c r="K2" i="2" s="1"/>
  <c r="J2" i="2" s="1"/>
  <c r="B8" i="1"/>
  <c r="B9" i="1"/>
  <c r="B10" i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" i="2"/>
  <c r="H4" i="2"/>
  <c r="H3" i="2"/>
  <c r="H2" i="2"/>
  <c r="R38" i="2"/>
  <c r="R39" i="2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151" i="2" s="1"/>
  <c r="R152" i="2" s="1"/>
  <c r="R153" i="2" s="1"/>
  <c r="R154" i="2" s="1"/>
  <c r="R155" i="2" s="1"/>
  <c r="R156" i="2" s="1"/>
  <c r="R157" i="2" s="1"/>
  <c r="R158" i="2" s="1"/>
  <c r="R159" i="2" s="1"/>
  <c r="R160" i="2" s="1"/>
  <c r="R161" i="2" s="1"/>
  <c r="R162" i="2" s="1"/>
  <c r="R163" i="2" s="1"/>
  <c r="R164" i="2" s="1"/>
  <c r="R165" i="2" s="1"/>
  <c r="R166" i="2" s="1"/>
  <c r="R167" i="2" s="1"/>
  <c r="R168" i="2" s="1"/>
  <c r="R169" i="2" s="1"/>
  <c r="R170" i="2" s="1"/>
  <c r="R171" i="2" s="1"/>
  <c r="R172" i="2" s="1"/>
  <c r="R173" i="2" s="1"/>
  <c r="R174" i="2" s="1"/>
  <c r="R175" i="2" s="1"/>
  <c r="R176" i="2" s="1"/>
  <c r="R177" i="2" s="1"/>
  <c r="R178" i="2" s="1"/>
  <c r="R179" i="2" s="1"/>
  <c r="R180" i="2" s="1"/>
  <c r="R181" i="2" s="1"/>
  <c r="R182" i="2" s="1"/>
  <c r="R183" i="2" s="1"/>
  <c r="R184" i="2" s="1"/>
  <c r="R185" i="2" s="1"/>
  <c r="R186" i="2" s="1"/>
  <c r="R187" i="2" s="1"/>
  <c r="R188" i="2" s="1"/>
  <c r="R189" i="2" s="1"/>
  <c r="R190" i="2" s="1"/>
  <c r="R191" i="2" s="1"/>
  <c r="R192" i="2" s="1"/>
  <c r="R193" i="2" s="1"/>
  <c r="R194" i="2" s="1"/>
  <c r="R195" i="2" s="1"/>
  <c r="R196" i="2" s="1"/>
  <c r="R197" i="2" s="1"/>
  <c r="R198" i="2" s="1"/>
  <c r="R199" i="2" s="1"/>
  <c r="R200" i="2" s="1"/>
  <c r="R201" i="2" s="1"/>
  <c r="R202" i="2" s="1"/>
  <c r="R203" i="2" s="1"/>
  <c r="R204" i="2" s="1"/>
  <c r="R205" i="2" s="1"/>
  <c r="R206" i="2" s="1"/>
  <c r="R207" i="2" s="1"/>
  <c r="R208" i="2" s="1"/>
  <c r="R209" i="2" s="1"/>
  <c r="R210" i="2" s="1"/>
  <c r="R211" i="2" s="1"/>
  <c r="R212" i="2" s="1"/>
  <c r="R213" i="2" s="1"/>
  <c r="R214" i="2" s="1"/>
  <c r="R215" i="2" s="1"/>
  <c r="R216" i="2" s="1"/>
  <c r="R217" i="2" s="1"/>
  <c r="R218" i="2" s="1"/>
  <c r="R219" i="2" s="1"/>
  <c r="R220" i="2" s="1"/>
  <c r="R221" i="2" s="1"/>
  <c r="R222" i="2" s="1"/>
  <c r="R223" i="2" s="1"/>
  <c r="R224" i="2" s="1"/>
  <c r="R225" i="2" s="1"/>
  <c r="R226" i="2" s="1"/>
  <c r="R227" i="2" s="1"/>
  <c r="R228" i="2" s="1"/>
  <c r="R229" i="2" s="1"/>
  <c r="R230" i="2" s="1"/>
  <c r="R231" i="2" s="1"/>
  <c r="R232" i="2" s="1"/>
  <c r="R233" i="2" s="1"/>
  <c r="R234" i="2" s="1"/>
  <c r="R235" i="2" s="1"/>
  <c r="R236" i="2" s="1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R251" i="2" s="1"/>
  <c r="R252" i="2" s="1"/>
  <c r="R253" i="2" s="1"/>
  <c r="R254" i="2" s="1"/>
  <c r="R255" i="2" s="1"/>
  <c r="R256" i="2" s="1"/>
  <c r="R257" i="2" s="1"/>
  <c r="R258" i="2" s="1"/>
  <c r="R259" i="2" s="1"/>
  <c r="R260" i="2" s="1"/>
  <c r="R261" i="2" s="1"/>
  <c r="R262" i="2" s="1"/>
  <c r="R263" i="2" s="1"/>
  <c r="R264" i="2" s="1"/>
  <c r="R265" i="2" s="1"/>
  <c r="R266" i="2" s="1"/>
  <c r="R267" i="2" s="1"/>
  <c r="R268" i="2" s="1"/>
  <c r="R269" i="2" s="1"/>
  <c r="R270" i="2" s="1"/>
  <c r="R271" i="2" s="1"/>
  <c r="R272" i="2" s="1"/>
  <c r="R273" i="2" s="1"/>
  <c r="R274" i="2" s="1"/>
  <c r="R275" i="2" s="1"/>
  <c r="R276" i="2" s="1"/>
  <c r="R277" i="2" s="1"/>
  <c r="R278" i="2" s="1"/>
  <c r="R279" i="2" s="1"/>
  <c r="R280" i="2" s="1"/>
  <c r="R281" i="2" s="1"/>
  <c r="R282" i="2" s="1"/>
  <c r="R283" i="2" s="1"/>
  <c r="R284" i="2" s="1"/>
  <c r="R285" i="2" s="1"/>
  <c r="R286" i="2" s="1"/>
  <c r="R287" i="2" s="1"/>
  <c r="R288" i="2" s="1"/>
  <c r="R289" i="2" s="1"/>
  <c r="R290" i="2" s="1"/>
  <c r="R291" i="2" s="1"/>
  <c r="R292" i="2" s="1"/>
  <c r="R293" i="2" s="1"/>
  <c r="R294" i="2" s="1"/>
  <c r="R295" i="2" s="1"/>
  <c r="R296" i="2" s="1"/>
  <c r="R297" i="2" s="1"/>
  <c r="R298" i="2" s="1"/>
  <c r="R299" i="2" s="1"/>
  <c r="R300" i="2" s="1"/>
  <c r="R301" i="2" s="1"/>
  <c r="R302" i="2" s="1"/>
  <c r="R303" i="2" s="1"/>
  <c r="R304" i="2" s="1"/>
  <c r="R305" i="2" s="1"/>
  <c r="R306" i="2" s="1"/>
  <c r="R307" i="2" s="1"/>
  <c r="R308" i="2" s="1"/>
  <c r="R309" i="2" s="1"/>
  <c r="R310" i="2" s="1"/>
  <c r="B877" i="1"/>
  <c r="B878" i="1"/>
  <c r="B879" i="1"/>
  <c r="B880" i="1"/>
  <c r="B881" i="1"/>
  <c r="B882" i="1"/>
  <c r="B33" i="1"/>
  <c r="B34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83" i="1"/>
  <c r="R4" i="2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K7" i="2" l="1"/>
  <c r="J7" i="2" s="1"/>
  <c r="K6" i="2"/>
  <c r="J6" i="2" s="1"/>
  <c r="K5" i="2"/>
  <c r="J5" i="2" s="1"/>
  <c r="K4" i="2"/>
  <c r="J4" i="2" s="1"/>
  <c r="K3" i="2"/>
  <c r="J3" i="2" s="1"/>
  <c r="B35" i="1"/>
  <c r="J8" i="2" l="1"/>
  <c r="AB2" i="1" s="1"/>
  <c r="B36" i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<sst xmlns="http://schemas.openxmlformats.org/spreadsheetml/2006/main" count="30" uniqueCount="24">
  <si>
    <t>Game #</t>
  </si>
  <si>
    <t>Player 1 Dmg</t>
  </si>
  <si>
    <t>My RP</t>
  </si>
  <si>
    <t>My Damage</t>
  </si>
  <si>
    <t>Player 2 Dmg</t>
  </si>
  <si>
    <t>K</t>
  </si>
  <si>
    <t>A</t>
  </si>
  <si>
    <t>Game Stats</t>
  </si>
  <si>
    <t>Day Begin</t>
  </si>
  <si>
    <t>avg dmg</t>
  </si>
  <si>
    <t>Player 1 Average Damage</t>
  </si>
  <si>
    <t>Player 2 Average Damage</t>
  </si>
  <si>
    <t>My Average Damage</t>
  </si>
  <si>
    <t>Kills+Assists</t>
  </si>
  <si>
    <t>Me</t>
  </si>
  <si>
    <t>Player1</t>
  </si>
  <si>
    <t>Player2</t>
  </si>
  <si>
    <t>Entry fee</t>
  </si>
  <si>
    <t>Total Fee</t>
  </si>
  <si>
    <t>Placement</t>
  </si>
  <si>
    <t>Team Kills</t>
  </si>
  <si>
    <t>D</t>
  </si>
  <si>
    <t>P</t>
  </si>
  <si>
    <t>ΔRP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</si>
</sst>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818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6" fillId="4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</cellXfs>
  <cellStyles count="1">
    <cellStyle name="Normal" xfId="0" builtinId="0"/>
  </cellStyles>
  <dxfs count="4">
    <dxf>
      <fill>
        <patternFill>
          <bgColor theme="7" tint="0.59996337778862885"/>
        </patternFill>
      </fill>
    </dxf>
    <dxf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8-4820-8FE9-37437AAF7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8-4820-8FE9-37437AAF7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3000"/>
          <c:min val="1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5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992558213017238E-2"/>
          <c:y val="2.8354233498590453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2-41AF-8B30-10A265E6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2-41AF-8B30-10A265E6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5400"/>
          <c:min val="3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6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A-4132-AFBE-5D96E962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4A-4132-AFBE-5D96E9622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8200"/>
          <c:min val="54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7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5-4558-9415-8BFCCB74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5-4558-9415-8BFCCB74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245663"/>
        <c:axId val="1491262303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11400"/>
          <c:min val="82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800"/>
      </c:valAx>
      <c:valAx>
        <c:axId val="1491262303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245663"/>
        <c:crosses val="max"/>
        <c:crossBetween val="midCat"/>
        <c:majorUnit val="1"/>
        <c:minorUnit val="1"/>
      </c:valAx>
      <c:valAx>
        <c:axId val="1491245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262303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7-4890-995C-0EDCC96D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7-4890-995C-0EDCC96D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15000"/>
          <c:min val="114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900"/>
      </c:valAx>
      <c:valAx>
        <c:axId val="249143888"/>
        <c:scaling>
          <c:orientation val="minMax"/>
          <c:max val="10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  <c:majorUnit val="1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zero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478292495981147E-2"/>
          <c:y val="2.8354272940220384E-2"/>
          <c:w val="0.93086307191887119"/>
          <c:h val="0.91958143653666258"/>
        </c:manualLayout>
      </c:layout>
      <c:lineChart>
        <c:grouping val="standard"/>
        <c:varyColors val="0"/>
        <c:ser>
          <c:idx val="0"/>
          <c:order val="0"/>
          <c:tx>
            <c:strRef>
              <c:f>Data!$D$3</c:f>
              <c:strCache>
                <c:ptCount val="1"/>
                <c:pt idx="0">
                  <c:v>My RP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[0]!Games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[0]!RP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CE-4527-8608-E298D2BE5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721151"/>
        <c:axId val="855724063"/>
      </c:lineChart>
      <c:scatterChart>
        <c:scatterStyle val="lineMarker"/>
        <c:varyColors val="0"/>
        <c:ser>
          <c:idx val="1"/>
          <c:order val="1"/>
          <c:tx>
            <c:strRef>
              <c:f>Calculations!$Q$1</c:f>
              <c:strCache>
                <c:ptCount val="1"/>
                <c:pt idx="0">
                  <c:v>Day Begin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[0]!DayEnd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[0]!Verts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CE-4527-8608-E298D2BE5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44720"/>
        <c:axId val="249143888"/>
      </c:scatterChart>
      <c:catAx>
        <c:axId val="855721151"/>
        <c:scaling>
          <c:orientation val="minMax"/>
        </c:scaling>
        <c:delete val="0"/>
        <c:axPos val="b"/>
        <c:majorGridlines>
          <c:spPr>
            <a:ln w="0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  <a:headEnd type="none"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4063"/>
        <c:crosses val="autoZero"/>
        <c:auto val="1"/>
        <c:lblAlgn val="ctr"/>
        <c:lblOffset val="0"/>
        <c:tickLblSkip val="20"/>
        <c:tickMarkSkip val="1"/>
        <c:noMultiLvlLbl val="0"/>
      </c:catAx>
      <c:valAx>
        <c:axId val="855724063"/>
        <c:scaling>
          <c:orientation val="minMax"/>
          <c:max val="35000"/>
          <c:min val="15000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721151"/>
        <c:crosses val="autoZero"/>
        <c:crossBetween val="midCat"/>
        <c:majorUnit val="1000"/>
      </c:valAx>
      <c:valAx>
        <c:axId val="249143888"/>
        <c:scaling>
          <c:orientation val="minMax"/>
          <c:max val="2"/>
          <c:min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144720"/>
        <c:crosses val="max"/>
        <c:crossBetween val="midCat"/>
      </c:valAx>
      <c:valAx>
        <c:axId val="249144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9143888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Damage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Calculations!$G$2:$G$4</c:f>
              <c:strCache>
                <c:ptCount val="3"/>
                <c:pt idx="0">
                  <c:v>My Average Damage</c:v>
                </c:pt>
                <c:pt idx="1">
                  <c:v>Player 1 Average Damage</c:v>
                </c:pt>
                <c:pt idx="2">
                  <c:v>Player 2 Average Damage</c:v>
                </c:pt>
              </c:strCache>
            </c:strRef>
          </c:cat>
          <c:val>
            <c:numRef>
              <c:f>Calculations!$H$2:$H$4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9-43A5-A1F4-C51733EC0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52464"/>
        <c:axId val="1178654544"/>
      </c:barChart>
      <c:catAx>
        <c:axId val="117865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654544"/>
        <c:crosses val="autoZero"/>
        <c:auto val="1"/>
        <c:lblAlgn val="ctr"/>
        <c:lblOffset val="100"/>
        <c:noMultiLvlLbl val="0"/>
      </c:catAx>
      <c:valAx>
        <c:axId val="11786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6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My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[0]!MyKA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43-428A-9C2D-994E79266E0F}"/>
            </c:ext>
          </c:extLst>
        </c:ser>
        <c:ser>
          <c:idx val="1"/>
          <c:order val="1"/>
          <c:tx>
            <c:v>Player 1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[0]!Player1KA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43-428A-9C2D-994E79266E0F}"/>
            </c:ext>
          </c:extLst>
        </c:ser>
        <c:ser>
          <c:idx val="2"/>
          <c:order val="2"/>
          <c:tx>
            <c:v>Player 2 Kills and Assists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[0]!GamesShifted1</c:f>
              <c:numCache>
                <c:formatCode>General</c:formatCode>
                <c:ptCount val="1"/>
              </c:numCache>
            </c:numRef>
          </c:xVal>
          <c:yVal>
            <c:numRef>
              <c:f>[0]!Player2KA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43-428A-9C2D-994E79266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390736"/>
        <c:axId val="1176386992"/>
      </c:scatterChart>
      <c:valAx>
        <c:axId val="117639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86992"/>
        <c:crosses val="autoZero"/>
        <c:crossBetween val="midCat"/>
        <c:majorUnit val="1"/>
      </c:valAx>
      <c:valAx>
        <c:axId val="11763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Kills</a:t>
                </a:r>
                <a:r>
                  <a:rPr lang="en-US" baseline="0"/>
                  <a:t> + Assists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39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14567</xdr:colOff>
          <xdr:row>0</xdr:row>
          <xdr:rowOff>194421</xdr:rowOff>
        </xdr:from>
        <xdr:to>
          <xdr:col>23</xdr:col>
          <xdr:colOff>851646</xdr:colOff>
          <xdr:row>4</xdr:row>
          <xdr:rowOff>11205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866215</xdr:colOff>
          <xdr:row>1</xdr:row>
          <xdr:rowOff>546289</xdr:rowOff>
        </xdr:from>
        <xdr:to>
          <xdr:col>27</xdr:col>
          <xdr:colOff>0</xdr:colOff>
          <xdr:row>4</xdr:row>
          <xdr:rowOff>11206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865654</xdr:colOff>
          <xdr:row>1</xdr:row>
          <xdr:rowOff>1682</xdr:rowOff>
        </xdr:from>
        <xdr:to>
          <xdr:col>26</xdr:col>
          <xdr:colOff>1019735</xdr:colOff>
          <xdr:row>1</xdr:row>
          <xdr:rowOff>549089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</xdr:row>
          <xdr:rowOff>49988</xdr:rowOff>
        </xdr:from>
        <xdr:to>
          <xdr:col>3</xdr:col>
          <xdr:colOff>80122</xdr:colOff>
          <xdr:row>19</xdr:row>
          <xdr:rowOff>115362</xdr:rowOff>
        </xdr:to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66675" y="2145488"/>
              <a:ext cx="1842247" cy="1589374"/>
              <a:chOff x="66675" y="2145488"/>
              <a:chExt cx="1842247" cy="1589374"/>
            </a:xfrm>
          </xdr:grpSpPr>
          <xdr:sp macro="" textlink="">
            <xdr:nvSpPr>
              <xdr:cNvPr id="3073" name="Option 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C0000}"/>
                  </a:ext>
                </a:extLst>
              </xdr:cNvPr>
              <xdr:cNvSpPr/>
            </xdr:nvSpPr>
            <xdr:spPr bwMode="auto">
              <a:xfrm>
                <a:off x="66675" y="2432618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Diamond - Masters</a:t>
                </a:r>
              </a:p>
            </xdr:txBody>
          </xdr:sp>
          <xdr:sp macro="" textlink="">
            <xdr:nvSpPr>
              <xdr:cNvPr id="3074" name="Option 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100-0000020C0000}"/>
                  </a:ext>
                </a:extLst>
              </xdr:cNvPr>
              <xdr:cNvSpPr/>
            </xdr:nvSpPr>
            <xdr:spPr bwMode="auto">
              <a:xfrm>
                <a:off x="66675" y="2719437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Platinum - Diamond</a:t>
                </a:r>
              </a:p>
            </xdr:txBody>
          </xdr:sp>
          <xdr:sp macro="" textlink="">
            <xdr:nvSpPr>
              <xdr:cNvPr id="3075" name="Option 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C0000}"/>
                  </a:ext>
                </a:extLst>
              </xdr:cNvPr>
              <xdr:cNvSpPr/>
            </xdr:nvSpPr>
            <xdr:spPr bwMode="auto">
              <a:xfrm>
                <a:off x="66675" y="3011195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Gold - Platinum</a:t>
                </a:r>
              </a:p>
            </xdr:txBody>
          </xdr:sp>
          <xdr:sp macro="" textlink="">
            <xdr:nvSpPr>
              <xdr:cNvPr id="3076" name="Option 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66675" y="3286351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Silver - Gold</a:t>
                </a:r>
              </a:p>
            </xdr:txBody>
          </xdr:sp>
          <xdr:sp macro="" textlink="">
            <xdr:nvSpPr>
              <xdr:cNvPr id="3077" name="Option Button 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100-0000050C0000}"/>
                  </a:ext>
                </a:extLst>
              </xdr:cNvPr>
              <xdr:cNvSpPr/>
            </xdr:nvSpPr>
            <xdr:spPr bwMode="auto">
              <a:xfrm>
                <a:off x="66675" y="3551982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Bronze - Silver</a:t>
                </a:r>
              </a:p>
            </xdr:txBody>
          </xdr:sp>
          <xdr:sp macro="" textlink="">
            <xdr:nvSpPr>
              <xdr:cNvPr id="3078" name="Option Button 6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:a16="http://schemas.microsoft.com/office/drawing/2014/main" id="{00000000-0008-0000-0100-0000060C0000}"/>
                  </a:ext>
                </a:extLst>
              </xdr:cNvPr>
              <xdr:cNvSpPr/>
            </xdr:nvSpPr>
            <xdr:spPr bwMode="auto">
              <a:xfrm>
                <a:off x="66675" y="2145488"/>
                <a:ext cx="1842247" cy="1828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 Masters+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2</xdr:col>
      <xdr:colOff>47625</xdr:colOff>
      <xdr:row>0</xdr:row>
      <xdr:rowOff>85725</xdr:rowOff>
    </xdr:from>
    <xdr:to>
      <xdr:col>29</xdr:col>
      <xdr:colOff>361950</xdr:colOff>
      <xdr:row>39</xdr:row>
      <xdr:rowOff>114300</xdr:rowOff>
    </xdr:to>
    <xdr:graphicFrame macro="">
      <xdr:nvGraphicFramePr>
        <xdr:cNvPr id="14" name="Bronze - Silver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3" name="Silver - Gold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2" name="Gold - Plat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0" name="Plat - Diamond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47625</xdr:colOff>
      <xdr:row>0</xdr:row>
      <xdr:rowOff>95250</xdr:rowOff>
    </xdr:from>
    <xdr:to>
      <xdr:col>29</xdr:col>
      <xdr:colOff>361950</xdr:colOff>
      <xdr:row>39</xdr:row>
      <xdr:rowOff>123825</xdr:rowOff>
    </xdr:to>
    <xdr:graphicFrame macro="">
      <xdr:nvGraphicFramePr>
        <xdr:cNvPr id="11" name="Diamond - Master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504825</xdr:colOff>
      <xdr:row>1</xdr:row>
      <xdr:rowOff>85725</xdr:rowOff>
    </xdr:from>
    <xdr:to>
      <xdr:col>29</xdr:col>
      <xdr:colOff>66675</xdr:colOff>
      <xdr:row>37</xdr:row>
      <xdr:rowOff>152400</xdr:rowOff>
    </xdr:to>
    <xdr:graphicFrame macro="">
      <xdr:nvGraphicFramePr>
        <xdr:cNvPr id="15" name="Masters+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57150</xdr:rowOff>
        </xdr:from>
        <xdr:to>
          <xdr:col>3</xdr:col>
          <xdr:colOff>133350</xdr:colOff>
          <xdr:row>5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6</xdr:row>
          <xdr:rowOff>66675</xdr:rowOff>
        </xdr:from>
        <xdr:to>
          <xdr:col>1</xdr:col>
          <xdr:colOff>438150</xdr:colOff>
          <xdr:row>8</xdr:row>
          <xdr:rowOff>66675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40</xdr:row>
      <xdr:rowOff>85724</xdr:rowOff>
    </xdr:from>
    <xdr:to>
      <xdr:col>12</xdr:col>
      <xdr:colOff>47625</xdr:colOff>
      <xdr:row>57</xdr:row>
      <xdr:rowOff>76199</xdr:rowOff>
    </xdr:to>
    <xdr:graphicFrame macro="">
      <xdr:nvGraphicFramePr>
        <xdr:cNvPr id="19" name="Averag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447675</xdr:colOff>
      <xdr:row>40</xdr:row>
      <xdr:rowOff>80962</xdr:rowOff>
    </xdr:from>
    <xdr:to>
      <xdr:col>22</xdr:col>
      <xdr:colOff>142875</xdr:colOff>
      <xdr:row>57</xdr:row>
      <xdr:rowOff>57150</xdr:rowOff>
    </xdr:to>
    <xdr:graphicFrame macro="">
      <xdr:nvGraphicFramePr>
        <xdr:cNvPr id="2" name="Scatte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B4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B1</a:t>
          </a:r>
        </a:p>
      </cdr:txBody>
    </cdr:sp>
  </cdr:relSizeAnchor>
  <cdr:relSizeAnchor xmlns:cdr="http://schemas.openxmlformats.org/drawingml/2006/chartDrawing">
    <cdr:from>
      <cdr:x>0.02371</cdr:x>
      <cdr:y>0.01099</cdr:y>
    </cdr:from>
    <cdr:to>
      <cdr:x>0.08121</cdr:x>
      <cdr:y>0.05875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397640" y="81943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Silver</a:t>
          </a:r>
        </a:p>
      </cdr:txBody>
    </cdr:sp>
  </cdr:relSizeAnchor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9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B4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B1</a:t>
          </a:r>
        </a:p>
      </cdr:txBody>
    </cdr:sp>
  </cdr:relSizeAnchor>
  <cdr:relSizeAnchor xmlns:cdr="http://schemas.openxmlformats.org/drawingml/2006/chartDrawing">
    <cdr:from>
      <cdr:x>0.02371</cdr:x>
      <cdr:y>0.01099</cdr:y>
    </cdr:from>
    <cdr:to>
      <cdr:x>0.08121</cdr:x>
      <cdr:y>0.05875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397640" y="81943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Silver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S4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S1</a:t>
          </a:r>
        </a:p>
      </cdr:txBody>
    </cdr:sp>
  </cdr:relSizeAnchor>
  <cdr:relSizeAnchor xmlns:cdr="http://schemas.openxmlformats.org/drawingml/2006/chartDrawing">
    <cdr:from>
      <cdr:x>0.02541</cdr:x>
      <cdr:y>0.00971</cdr:y>
    </cdr:from>
    <cdr:to>
      <cdr:x>0.08291</cdr:x>
      <cdr:y>0.05747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426172" y="72427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Gold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G4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G1</a:t>
          </a:r>
        </a:p>
      </cdr:txBody>
    </cdr:sp>
  </cdr:relSizeAnchor>
  <cdr:relSizeAnchor xmlns:cdr="http://schemas.openxmlformats.org/drawingml/2006/chartDrawing">
    <cdr:from>
      <cdr:x>0.01064</cdr:x>
      <cdr:y>0.00971</cdr:y>
    </cdr:from>
    <cdr:to>
      <cdr:x>0.06814</cdr:x>
      <cdr:y>0.05747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178522" y="72427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Platinum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0.03296</cdr:x>
      <cdr:y>0.92834</cdr:y>
    </cdr:from>
    <cdr:to>
      <cdr:x>0.06407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52915" y="6923608"/>
          <a:ext cx="521825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P4</a:t>
          </a:r>
        </a:p>
      </cdr:txBody>
    </cdr:sp>
  </cdr:relSizeAnchor>
  <cdr:relSizeAnchor xmlns:cdr="http://schemas.openxmlformats.org/drawingml/2006/chartDrawing">
    <cdr:from>
      <cdr:x>0.03262</cdr:x>
      <cdr:y>0.70057</cdr:y>
    </cdr:from>
    <cdr:to>
      <cdr:x>0.06374</cdr:x>
      <cdr:y>0.74833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47176" y="5224936"/>
          <a:ext cx="521993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P2</a:t>
          </a:r>
        </a:p>
      </cdr:txBody>
    </cdr:sp>
  </cdr:relSizeAnchor>
  <cdr:relSizeAnchor xmlns:cdr="http://schemas.openxmlformats.org/drawingml/2006/chartDrawing">
    <cdr:from>
      <cdr:x>0.03225</cdr:x>
      <cdr:y>0.24023</cdr:y>
    </cdr:from>
    <cdr:to>
      <cdr:x>0.06337</cdr:x>
      <cdr:y>0.28799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40911" y="1791621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P1</a:t>
          </a:r>
        </a:p>
      </cdr:txBody>
    </cdr:sp>
  </cdr:relSizeAnchor>
  <cdr:relSizeAnchor xmlns:cdr="http://schemas.openxmlformats.org/drawingml/2006/chartDrawing">
    <cdr:from>
      <cdr:x>0.00965</cdr:x>
      <cdr:y>0.00996</cdr:y>
    </cdr:from>
    <cdr:to>
      <cdr:x>0.06715</cdr:x>
      <cdr:y>0.05772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161925" y="74295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Diamond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0.03183</cdr:x>
      <cdr:y>0.92834</cdr:y>
    </cdr:from>
    <cdr:to>
      <cdr:x>0.06294</cdr:x>
      <cdr:y>0.9761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BAD67B40-F755-468B-A2CB-A26B0743335A}"/>
            </a:ext>
          </a:extLst>
        </cdr:cNvPr>
        <cdr:cNvSpPr txBox="1"/>
      </cdr:nvSpPr>
      <cdr:spPr>
        <a:xfrm xmlns:a="http://schemas.openxmlformats.org/drawingml/2006/main">
          <a:off x="533866" y="6923608"/>
          <a:ext cx="521824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="1"/>
            <a:t>D4</a:t>
          </a:r>
        </a:p>
      </cdr:txBody>
    </cdr:sp>
  </cdr:relSizeAnchor>
  <cdr:relSizeAnchor xmlns:cdr="http://schemas.openxmlformats.org/drawingml/2006/chartDrawing">
    <cdr:from>
      <cdr:x>0.03206</cdr:x>
      <cdr:y>0.6993</cdr:y>
    </cdr:from>
    <cdr:to>
      <cdr:x>0.06318</cdr:x>
      <cdr:y>0.74706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724" y="5215432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D3</a:t>
          </a:r>
        </a:p>
      </cdr:txBody>
    </cdr:sp>
  </cdr:relSizeAnchor>
  <cdr:relSizeAnchor xmlns:cdr="http://schemas.openxmlformats.org/drawingml/2006/chartDrawing">
    <cdr:from>
      <cdr:x>0.03207</cdr:x>
      <cdr:y>0.46986</cdr:y>
    </cdr:from>
    <cdr:to>
      <cdr:x>0.06319</cdr:x>
      <cdr:y>0.51762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58C1EAC8-0F11-49D7-98AB-FD71722B5EAC}"/>
            </a:ext>
          </a:extLst>
        </cdr:cNvPr>
        <cdr:cNvSpPr txBox="1"/>
      </cdr:nvSpPr>
      <cdr:spPr>
        <a:xfrm xmlns:a="http://schemas.openxmlformats.org/drawingml/2006/main">
          <a:off x="537892" y="3504283"/>
          <a:ext cx="521992" cy="3561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D2</a:t>
          </a:r>
        </a:p>
      </cdr:txBody>
    </cdr:sp>
  </cdr:relSizeAnchor>
  <cdr:relSizeAnchor xmlns:cdr="http://schemas.openxmlformats.org/drawingml/2006/chartDrawing">
    <cdr:from>
      <cdr:x>0.03168</cdr:x>
      <cdr:y>0.23895</cdr:y>
    </cdr:from>
    <cdr:to>
      <cdr:x>0.0628</cdr:x>
      <cdr:y>0.28671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EC88094-405E-47B3-9CAA-E1FEE3F20F10}"/>
            </a:ext>
          </a:extLst>
        </cdr:cNvPr>
        <cdr:cNvSpPr txBox="1"/>
      </cdr:nvSpPr>
      <cdr:spPr>
        <a:xfrm xmlns:a="http://schemas.openxmlformats.org/drawingml/2006/main">
          <a:off x="531386" y="1782096"/>
          <a:ext cx="521992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D1</a:t>
          </a:r>
        </a:p>
      </cdr:txBody>
    </cdr:sp>
  </cdr:relSizeAnchor>
  <cdr:relSizeAnchor xmlns:cdr="http://schemas.openxmlformats.org/drawingml/2006/chartDrawing">
    <cdr:from>
      <cdr:x>0.0142</cdr:x>
      <cdr:y>0.00894</cdr:y>
    </cdr:from>
    <cdr:to>
      <cdr:x>0.0717</cdr:x>
      <cdr:y>0.0567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3B33892-C222-4F53-B136-6B386EC016CF}"/>
            </a:ext>
          </a:extLst>
        </cdr:cNvPr>
        <cdr:cNvSpPr txBox="1"/>
      </cdr:nvSpPr>
      <cdr:spPr>
        <a:xfrm xmlns:a="http://schemas.openxmlformats.org/drawingml/2006/main">
          <a:off x="238125" y="66675"/>
          <a:ext cx="964478" cy="356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/>
            <a:t>Masters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L883"/>
  <sheetViews>
    <sheetView showGridLines="0" showRowColHeaders="0" tabSelected="1" zoomScale="85" zoomScaleNormal="85" workbookViewId="0">
      <selection activeCell="D5" sqref="D5"/>
    </sheetView>
  </sheetViews>
  <sheetFormatPr defaultRowHeight="15" x14ac:dyDescent="0.25"/>
  <cols>
    <col min="2" max="2" width="9.140625" style="1"/>
    <col min="3" max="3" width="8.5703125" style="1" customWidth="1"/>
    <col min="4" max="4" width="14.140625" style="1" customWidth="1"/>
    <col min="5" max="5" width="10.7109375" style="1" bestFit="1" customWidth="1"/>
    <col min="6" max="6" width="10.7109375" style="1" customWidth="1"/>
    <col min="7" max="7" width="14.28515625" style="1" customWidth="1"/>
    <col min="8" max="11" width="4" style="1" customWidth="1"/>
    <col min="12" max="12" width="14.28515625" customWidth="1"/>
    <col min="13" max="15" width="4" style="1" customWidth="1"/>
    <col min="16" max="16" width="14.28515625" customWidth="1"/>
    <col min="17" max="19" width="4" style="1" customWidth="1"/>
    <col min="21" max="21" width="16.5703125" bestFit="1" customWidth="1"/>
    <col min="22" max="22" width="7" bestFit="1" customWidth="1"/>
    <col min="23" max="23" width="4.7109375" bestFit="1" customWidth="1"/>
    <col min="24" max="24" width="16.42578125" bestFit="1" customWidth="1"/>
    <col min="25" max="26" width="4.7109375" bestFit="1" customWidth="1"/>
    <col min="27" max="27" width="15.28515625" customWidth="1"/>
    <col min="28" max="29" width="4.7109375" bestFit="1" customWidth="1"/>
    <col min="30" max="30" width="5.28515625" bestFit="1" customWidth="1"/>
    <col min="32" max="32" width="7.140625" customWidth="1"/>
    <col min="33" max="33" width="14.5703125" customWidth="1"/>
    <col min="34" max="34" width="9" customWidth="1"/>
  </cols>
  <sheetData>
    <row r="1" spans="2:38" ht="15.75" thickBot="1" x14ac:dyDescent="0.3"/>
    <row r="2" spans="2:38" ht="45.75" customHeight="1" x14ac:dyDescent="0.25">
      <c r="B2" s="19" t="s">
        <v>7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1"/>
      <c r="U2" s="25"/>
      <c r="V2" s="25"/>
      <c r="W2" s="25"/>
      <c r="X2" s="25"/>
      <c r="Y2" s="25"/>
      <c r="Z2" s="25"/>
      <c r="AA2" s="25"/>
      <c r="AB2" s="18" t="e">
        <f ca="1">_xlfn.CONCAT("Current Entry Fee = ",TEXT(Calculations!$J$8,"#"),"RP")</f>
        <v>#REF!</v>
      </c>
      <c r="AC2" s="18"/>
      <c r="AD2" s="18"/>
      <c r="AE2" s="18"/>
      <c r="AF2" s="18"/>
      <c r="AG2" s="18"/>
      <c r="AH2" s="18"/>
      <c r="AI2" s="18"/>
      <c r="AJ2" s="18"/>
      <c r="AK2" s="18"/>
      <c r="AL2" s="18"/>
    </row>
    <row r="3" spans="2:38" ht="24" customHeight="1" x14ac:dyDescent="0.25">
      <c r="B3" s="22" t="s">
        <v>23</v>
      </c>
      <c r="C3" s="23" t="s">
        <v>0</v>
      </c>
      <c r="D3" s="23" t="s">
        <v>2</v>
      </c>
      <c r="E3" s="23" t="s">
        <v>19</v>
      </c>
      <c r="F3" s="23" t="s">
        <v>20</v>
      </c>
      <c r="G3" s="23" t="s">
        <v>3</v>
      </c>
      <c r="H3" s="23" t="s">
        <v>5</v>
      </c>
      <c r="I3" s="23" t="s">
        <v>6</v>
      </c>
      <c r="J3" s="23" t="s">
        <v>21</v>
      </c>
      <c r="K3" s="23" t="s">
        <v>22</v>
      </c>
      <c r="L3" s="23" t="s">
        <v>1</v>
      </c>
      <c r="M3" s="23" t="s">
        <v>5</v>
      </c>
      <c r="N3" s="23" t="s">
        <v>6</v>
      </c>
      <c r="O3" s="23" t="s">
        <v>21</v>
      </c>
      <c r="P3" s="23" t="s">
        <v>4</v>
      </c>
      <c r="Q3" s="23" t="s">
        <v>5</v>
      </c>
      <c r="R3" s="23" t="s">
        <v>6</v>
      </c>
      <c r="S3" s="24" t="s">
        <v>21</v>
      </c>
      <c r="U3" s="25"/>
      <c r="V3" s="25"/>
      <c r="W3" s="25"/>
      <c r="X3" s="25"/>
      <c r="Y3" s="25"/>
      <c r="Z3" s="25"/>
      <c r="AA3" s="25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</row>
    <row r="4" spans="2:38" ht="15" customHeight="1" x14ac:dyDescent="0.25">
      <c r="B4" s="3" t="e">
        <v>#N/A</v>
      </c>
      <c r="C4" s="2">
        <v>0</v>
      </c>
      <c r="D4" s="14"/>
      <c r="E4" s="16"/>
      <c r="F4" s="16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2"/>
      <c r="U4" s="25"/>
      <c r="V4" s="25"/>
      <c r="W4" s="25"/>
      <c r="X4" s="25"/>
      <c r="Y4" s="25"/>
      <c r="Z4" s="25"/>
      <c r="AA4" s="25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</row>
    <row r="5" spans="2:38" ht="15" customHeight="1" x14ac:dyDescent="0.25">
      <c r="B5" s="3" t="e">
        <f t="shared" ref="B5:B69" si="0">IF(ISNUMBER(D5),D5-D4, NA())</f>
        <v>#N/A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</row>
    <row r="6" spans="2:38" x14ac:dyDescent="0.25">
      <c r="B6" s="3" t="e">
        <f t="shared" si="0"/>
        <v>#N/A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5"/>
      <c r="U6" s="1"/>
      <c r="V6" s="1"/>
      <c r="W6" s="4"/>
      <c r="X6" s="4"/>
      <c r="Y6" s="4"/>
      <c r="Z6" s="4"/>
      <c r="AA6" s="4"/>
      <c r="AB6" s="4"/>
      <c r="AC6" s="4"/>
      <c r="AD6" s="4"/>
    </row>
    <row r="7" spans="2:38" x14ac:dyDescent="0.25">
      <c r="B7" s="3" t="e">
        <f t="shared" si="0"/>
        <v>#N/A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5"/>
      <c r="U7" s="1"/>
      <c r="V7" s="1"/>
      <c r="W7" s="4"/>
      <c r="X7" s="4"/>
      <c r="Y7" s="4"/>
      <c r="Z7" s="4"/>
      <c r="AA7" s="4"/>
      <c r="AB7" s="4"/>
      <c r="AC7" s="4"/>
      <c r="AD7" s="4"/>
    </row>
    <row r="8" spans="2:38" x14ac:dyDescent="0.25">
      <c r="B8" s="3" t="e">
        <f t="shared" si="0"/>
        <v>#N/A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5"/>
      <c r="U8" s="1"/>
      <c r="V8" s="1"/>
      <c r="W8" s="4"/>
      <c r="X8" s="4"/>
      <c r="Y8" s="4"/>
      <c r="Z8" s="4"/>
      <c r="AA8" s="4"/>
      <c r="AB8" s="4"/>
      <c r="AC8" s="4"/>
      <c r="AD8" s="4"/>
    </row>
    <row r="9" spans="2:38" x14ac:dyDescent="0.25">
      <c r="B9" s="3" t="e">
        <f t="shared" si="0"/>
        <v>#N/A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5"/>
      <c r="U9" s="1"/>
      <c r="V9" s="1"/>
      <c r="W9" s="8"/>
      <c r="X9" s="9"/>
      <c r="Y9" s="4"/>
      <c r="Z9" s="4"/>
      <c r="AA9" s="4"/>
      <c r="AB9" s="4"/>
      <c r="AC9" s="4"/>
      <c r="AD9" s="4"/>
    </row>
    <row r="10" spans="2:38" x14ac:dyDescent="0.25">
      <c r="B10" s="3" t="e">
        <f t="shared" si="0"/>
        <v>#N/A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5"/>
      <c r="U10" s="1"/>
      <c r="V10" s="1"/>
      <c r="W10" s="8"/>
      <c r="X10" s="8"/>
      <c r="Y10" s="4"/>
      <c r="Z10" s="4"/>
      <c r="AA10" s="4"/>
      <c r="AB10" s="4"/>
      <c r="AC10" s="4"/>
      <c r="AD10" s="4"/>
    </row>
    <row r="11" spans="2:38" x14ac:dyDescent="0.25">
      <c r="B11" s="3" t="e">
        <f t="shared" si="0"/>
        <v>#N/A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5"/>
      <c r="U11" s="1"/>
      <c r="V11" s="1"/>
      <c r="W11" s="8"/>
      <c r="X11" s="8"/>
      <c r="Y11" s="4"/>
      <c r="Z11" s="4"/>
      <c r="AA11" s="4"/>
      <c r="AB11" s="4"/>
      <c r="AC11" s="4"/>
      <c r="AD11" s="4"/>
    </row>
    <row r="12" spans="2:38" x14ac:dyDescent="0.25">
      <c r="B12" s="3" t="e">
        <f t="shared" si="0"/>
        <v>#N/A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5"/>
      <c r="U12" s="1"/>
      <c r="V12" s="1"/>
      <c r="W12" s="8"/>
      <c r="X12" s="8"/>
      <c r="Y12" s="4"/>
      <c r="Z12" s="4"/>
      <c r="AA12" s="4"/>
      <c r="AB12" s="4"/>
      <c r="AC12" s="4"/>
      <c r="AD12" s="4"/>
    </row>
    <row r="13" spans="2:38" x14ac:dyDescent="0.25">
      <c r="B13" s="3" t="e">
        <f t="shared" si="0"/>
        <v>#N/A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5"/>
      <c r="U13" s="1"/>
      <c r="V13" s="1"/>
      <c r="W13" s="4"/>
      <c r="X13" s="4"/>
      <c r="Y13" s="4"/>
      <c r="Z13" s="4"/>
      <c r="AA13" s="4"/>
      <c r="AB13" s="4"/>
      <c r="AC13" s="4"/>
      <c r="AD13" s="4"/>
    </row>
    <row r="14" spans="2:38" x14ac:dyDescent="0.25">
      <c r="B14" s="3" t="e">
        <f t="shared" si="0"/>
        <v>#N/A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5"/>
      <c r="U14" s="1"/>
      <c r="V14" s="1"/>
      <c r="W14" s="4"/>
      <c r="X14" s="4"/>
      <c r="Y14" s="4"/>
      <c r="Z14" s="4"/>
      <c r="AA14" s="4"/>
      <c r="AB14" s="4"/>
      <c r="AC14" s="4"/>
      <c r="AD14" s="4"/>
    </row>
    <row r="15" spans="2:38" x14ac:dyDescent="0.25">
      <c r="B15" s="3" t="e">
        <f t="shared" si="0"/>
        <v>#N/A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5"/>
      <c r="U15" s="1"/>
      <c r="V15" s="1"/>
      <c r="W15" s="4"/>
      <c r="X15" s="4"/>
      <c r="Y15" s="4"/>
      <c r="Z15" s="4"/>
      <c r="AA15" s="4"/>
      <c r="AB15" s="4"/>
      <c r="AC15" s="4"/>
      <c r="AD15" s="4"/>
    </row>
    <row r="16" spans="2:38" x14ac:dyDescent="0.25">
      <c r="B16" s="3" t="e">
        <f t="shared" si="0"/>
        <v>#N/A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5"/>
      <c r="U16" s="1"/>
      <c r="W16" s="4"/>
      <c r="X16" s="4"/>
      <c r="Y16" s="4"/>
      <c r="Z16" s="4"/>
      <c r="AA16" s="4"/>
      <c r="AB16" s="4"/>
      <c r="AC16" s="4"/>
      <c r="AD16" s="4"/>
    </row>
    <row r="17" spans="2:30" x14ac:dyDescent="0.25">
      <c r="B17" s="3" t="e">
        <f t="shared" si="0"/>
        <v>#N/A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5"/>
      <c r="U17" s="1"/>
      <c r="W17" s="4"/>
      <c r="X17" s="4"/>
      <c r="Y17" s="4"/>
      <c r="Z17" s="4"/>
      <c r="AA17" s="4"/>
      <c r="AB17" s="4"/>
      <c r="AC17" s="4"/>
      <c r="AD17" s="4"/>
    </row>
    <row r="18" spans="2:30" x14ac:dyDescent="0.25">
      <c r="B18" s="3" t="e">
        <f t="shared" si="0"/>
        <v>#N/A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5"/>
      <c r="W18" s="4"/>
      <c r="X18" s="4"/>
      <c r="Y18" s="4"/>
      <c r="Z18" s="4"/>
      <c r="AA18" s="4"/>
      <c r="AB18" s="4"/>
      <c r="AC18" s="4"/>
      <c r="AD18" s="4"/>
    </row>
    <row r="19" spans="2:30" x14ac:dyDescent="0.25">
      <c r="B19" s="3" t="e">
        <f t="shared" si="0"/>
        <v>#N/A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5"/>
      <c r="V19" s="4"/>
      <c r="W19" s="4"/>
      <c r="X19" s="4"/>
      <c r="Y19" s="4"/>
      <c r="Z19" s="4"/>
      <c r="AA19" s="4"/>
      <c r="AB19" s="4"/>
      <c r="AC19" s="4"/>
      <c r="AD19" s="4"/>
    </row>
    <row r="20" spans="2:30" x14ac:dyDescent="0.25">
      <c r="B20" s="3" t="e">
        <f t="shared" si="0"/>
        <v>#N/A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5"/>
      <c r="V20" s="4"/>
      <c r="W20" s="4"/>
      <c r="X20" s="4"/>
      <c r="Y20" s="4"/>
      <c r="Z20" s="4"/>
      <c r="AA20" s="4"/>
      <c r="AB20" s="4"/>
      <c r="AC20" s="4"/>
      <c r="AD20" s="4"/>
    </row>
    <row r="21" spans="2:30" x14ac:dyDescent="0.25">
      <c r="B21" s="3" t="e">
        <f t="shared" si="0"/>
        <v>#N/A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5"/>
      <c r="V21" s="4"/>
      <c r="W21" s="4"/>
      <c r="X21" s="4"/>
      <c r="Y21" s="4"/>
      <c r="Z21" s="4"/>
      <c r="AA21" s="4"/>
      <c r="AB21" s="4"/>
      <c r="AC21" s="4"/>
      <c r="AD21" s="4"/>
    </row>
    <row r="22" spans="2:30" x14ac:dyDescent="0.25">
      <c r="B22" s="3" t="e">
        <f t="shared" si="0"/>
        <v>#N/A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5"/>
      <c r="V22" s="4"/>
      <c r="W22" s="4"/>
      <c r="X22" s="4"/>
      <c r="Y22" s="4"/>
      <c r="Z22" s="4"/>
      <c r="AA22" s="4"/>
      <c r="AB22" s="4"/>
      <c r="AC22" s="4"/>
      <c r="AD22" s="4"/>
    </row>
    <row r="23" spans="2:30" x14ac:dyDescent="0.25">
      <c r="B23" s="3" t="e">
        <f t="shared" si="0"/>
        <v>#N/A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5"/>
      <c r="V23" s="4"/>
      <c r="W23" s="4"/>
      <c r="X23" s="4"/>
      <c r="Y23" s="4"/>
      <c r="Z23" s="4"/>
      <c r="AA23" s="4"/>
      <c r="AB23" s="4"/>
      <c r="AC23" s="4"/>
      <c r="AD23" s="4"/>
    </row>
    <row r="24" spans="2:30" x14ac:dyDescent="0.25">
      <c r="B24" s="3" t="e">
        <f t="shared" si="0"/>
        <v>#N/A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5"/>
      <c r="V24" s="4"/>
      <c r="W24" s="4"/>
      <c r="X24" s="4"/>
      <c r="Y24" s="4"/>
      <c r="Z24" s="4"/>
      <c r="AA24" s="4"/>
      <c r="AB24" s="4"/>
      <c r="AC24" s="4"/>
      <c r="AD24" s="4"/>
    </row>
    <row r="25" spans="2:30" x14ac:dyDescent="0.25">
      <c r="B25" s="3" t="e">
        <f t="shared" si="0"/>
        <v>#N/A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5"/>
      <c r="V25" s="4"/>
      <c r="W25" s="4"/>
      <c r="X25" s="4"/>
      <c r="Y25" s="4"/>
      <c r="Z25" s="4"/>
      <c r="AA25" s="4"/>
      <c r="AB25" s="4"/>
      <c r="AC25" s="4"/>
      <c r="AD25" s="4"/>
    </row>
    <row r="26" spans="2:30" x14ac:dyDescent="0.25">
      <c r="B26" s="3" t="e">
        <f t="shared" si="0"/>
        <v>#N/A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5"/>
      <c r="V26" s="4"/>
      <c r="W26" s="4"/>
      <c r="X26" s="4"/>
      <c r="Y26" s="4"/>
      <c r="Z26" s="4"/>
      <c r="AA26" s="4"/>
      <c r="AB26" s="4"/>
      <c r="AC26" s="4"/>
      <c r="AD26" s="4"/>
    </row>
    <row r="27" spans="2:30" x14ac:dyDescent="0.25">
      <c r="B27" s="3" t="e">
        <f t="shared" si="0"/>
        <v>#N/A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5"/>
      <c r="V27" s="4"/>
      <c r="W27" s="4"/>
      <c r="X27" s="4"/>
      <c r="Y27" s="4"/>
      <c r="Z27" s="4"/>
      <c r="AA27" s="4"/>
      <c r="AB27" s="4"/>
      <c r="AC27" s="4"/>
      <c r="AD27" s="4"/>
    </row>
    <row r="28" spans="2:30" x14ac:dyDescent="0.25">
      <c r="B28" s="3" t="e">
        <f t="shared" si="0"/>
        <v>#N/A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5"/>
      <c r="V28" s="4"/>
      <c r="W28" s="4"/>
      <c r="X28" s="4"/>
      <c r="Y28" s="4"/>
      <c r="Z28" s="4"/>
      <c r="AA28" s="4"/>
      <c r="AB28" s="4"/>
      <c r="AC28" s="4"/>
      <c r="AD28" s="4"/>
    </row>
    <row r="29" spans="2:30" x14ac:dyDescent="0.25">
      <c r="B29" s="3" t="e">
        <f t="shared" si="0"/>
        <v>#N/A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5"/>
      <c r="V29" s="4"/>
      <c r="W29" s="4"/>
      <c r="X29" s="4"/>
      <c r="Y29" s="4"/>
      <c r="Z29" s="4"/>
      <c r="AA29" s="4"/>
      <c r="AB29" s="4"/>
      <c r="AC29" s="4"/>
      <c r="AD29" s="4"/>
    </row>
    <row r="30" spans="2:30" x14ac:dyDescent="0.25">
      <c r="B30" s="3" t="e">
        <f t="shared" si="0"/>
        <v>#N/A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5"/>
      <c r="V30" s="4"/>
      <c r="W30" s="4"/>
      <c r="X30" s="4"/>
      <c r="Y30" s="4"/>
      <c r="Z30" s="4"/>
      <c r="AA30" s="4"/>
      <c r="AB30" s="4"/>
      <c r="AC30" s="4"/>
      <c r="AD30" s="4"/>
    </row>
    <row r="31" spans="2:30" x14ac:dyDescent="0.25">
      <c r="B31" s="3" t="e">
        <f t="shared" si="0"/>
        <v>#N/A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5"/>
      <c r="V31" s="4"/>
      <c r="W31" s="4"/>
      <c r="X31" s="4"/>
      <c r="Y31" s="4"/>
      <c r="Z31" s="4"/>
      <c r="AA31" s="4"/>
      <c r="AB31" s="4"/>
      <c r="AC31" s="4"/>
      <c r="AD31" s="4"/>
    </row>
    <row r="32" spans="2:30" x14ac:dyDescent="0.25">
      <c r="B32" s="3" t="e">
        <f t="shared" si="0"/>
        <v>#N/A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5"/>
      <c r="V32" s="4"/>
      <c r="W32" s="4"/>
      <c r="X32" s="4"/>
      <c r="Y32" s="4"/>
      <c r="Z32" s="4"/>
      <c r="AA32" s="4"/>
      <c r="AB32" s="4"/>
      <c r="AC32" s="4"/>
      <c r="AD32" s="4"/>
    </row>
    <row r="33" spans="2:30" x14ac:dyDescent="0.25">
      <c r="B33" s="3" t="e">
        <f t="shared" si="0"/>
        <v>#N/A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5"/>
      <c r="V33" s="4"/>
      <c r="W33" s="4"/>
      <c r="X33" s="4"/>
      <c r="Y33" s="4"/>
      <c r="Z33" s="4"/>
      <c r="AA33" s="4"/>
      <c r="AB33" s="4"/>
      <c r="AC33" s="4"/>
      <c r="AD33" s="4"/>
    </row>
    <row r="34" spans="2:30" x14ac:dyDescent="0.25">
      <c r="B34" s="3" t="e">
        <f t="shared" si="0"/>
        <v>#N/A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5"/>
      <c r="V34" s="4"/>
      <c r="W34" s="4"/>
      <c r="X34" s="4"/>
      <c r="Y34" s="4"/>
      <c r="Z34" s="4"/>
      <c r="AA34" s="4"/>
      <c r="AB34" s="4"/>
      <c r="AC34" s="4"/>
      <c r="AD34" s="4"/>
    </row>
    <row r="35" spans="2:30" x14ac:dyDescent="0.25">
      <c r="B35" s="3" t="e">
        <f t="shared" si="0"/>
        <v>#N/A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5"/>
      <c r="V35" s="4"/>
      <c r="W35" s="4"/>
      <c r="X35" s="4"/>
      <c r="Y35" s="4"/>
      <c r="Z35" s="4"/>
      <c r="AA35" s="4"/>
      <c r="AB35" s="4"/>
      <c r="AC35" s="4"/>
      <c r="AD35" s="4"/>
    </row>
    <row r="36" spans="2:30" x14ac:dyDescent="0.25">
      <c r="B36" s="3" t="e">
        <f t="shared" si="0"/>
        <v>#N/A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5"/>
      <c r="V36" s="4"/>
      <c r="W36" s="4"/>
      <c r="X36" s="4"/>
      <c r="Y36" s="4"/>
      <c r="Z36" s="4"/>
      <c r="AA36" s="4"/>
      <c r="AB36" s="4"/>
      <c r="AC36" s="4"/>
      <c r="AD36" s="4"/>
    </row>
    <row r="37" spans="2:30" x14ac:dyDescent="0.25">
      <c r="B37" s="3" t="e">
        <f t="shared" si="0"/>
        <v>#N/A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5"/>
      <c r="V37" s="4"/>
      <c r="W37" s="4"/>
      <c r="X37" s="4"/>
      <c r="Y37" s="4"/>
      <c r="Z37" s="4"/>
      <c r="AA37" s="4"/>
      <c r="AB37" s="4"/>
      <c r="AC37" s="4"/>
      <c r="AD37" s="4"/>
    </row>
    <row r="38" spans="2:30" x14ac:dyDescent="0.25">
      <c r="B38" s="3" t="e">
        <f t="shared" si="0"/>
        <v>#N/A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5"/>
      <c r="V38" s="4"/>
      <c r="W38" s="4"/>
      <c r="X38" s="4"/>
      <c r="Y38" s="4"/>
      <c r="Z38" s="4"/>
      <c r="AA38" s="4"/>
      <c r="AB38" s="4"/>
      <c r="AC38" s="4"/>
      <c r="AD38" s="4"/>
    </row>
    <row r="39" spans="2:30" x14ac:dyDescent="0.25">
      <c r="B39" s="3" t="e">
        <f t="shared" si="0"/>
        <v>#N/A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5"/>
      <c r="V39" s="4"/>
      <c r="W39" s="4"/>
      <c r="X39" s="4"/>
      <c r="Y39" s="4"/>
      <c r="Z39" s="4"/>
      <c r="AA39" s="4"/>
      <c r="AB39" s="4"/>
      <c r="AC39" s="4"/>
      <c r="AD39" s="4"/>
    </row>
    <row r="40" spans="2:30" x14ac:dyDescent="0.25">
      <c r="B40" s="3" t="e">
        <f t="shared" si="0"/>
        <v>#N/A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5"/>
      <c r="V40" s="4"/>
      <c r="W40" s="4"/>
      <c r="X40" s="4"/>
      <c r="Y40" s="4"/>
      <c r="Z40" s="4"/>
      <c r="AA40" s="4"/>
      <c r="AB40" s="4"/>
      <c r="AC40" s="4"/>
      <c r="AD40" s="4"/>
    </row>
    <row r="41" spans="2:30" x14ac:dyDescent="0.25">
      <c r="B41" s="3" t="e">
        <f t="shared" si="0"/>
        <v>#N/A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5"/>
      <c r="V41" s="4"/>
      <c r="W41" s="4"/>
      <c r="X41" s="4"/>
      <c r="Y41" s="4"/>
      <c r="Z41" s="4"/>
      <c r="AA41" s="4"/>
      <c r="AB41" s="4"/>
      <c r="AC41" s="4"/>
      <c r="AD41" s="4"/>
    </row>
    <row r="42" spans="2:30" x14ac:dyDescent="0.25">
      <c r="B42" s="3" t="e">
        <f t="shared" si="0"/>
        <v>#N/A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5"/>
    </row>
    <row r="43" spans="2:30" x14ac:dyDescent="0.25">
      <c r="B43" s="3" t="e">
        <f t="shared" si="0"/>
        <v>#N/A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5"/>
    </row>
    <row r="44" spans="2:30" x14ac:dyDescent="0.25">
      <c r="B44" s="3" t="e">
        <f t="shared" si="0"/>
        <v>#N/A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5"/>
    </row>
    <row r="45" spans="2:30" x14ac:dyDescent="0.25">
      <c r="B45" s="3" t="e">
        <f t="shared" si="0"/>
        <v>#N/A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5"/>
    </row>
    <row r="46" spans="2:30" x14ac:dyDescent="0.25">
      <c r="B46" s="3" t="e">
        <f t="shared" si="0"/>
        <v>#N/A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5"/>
    </row>
    <row r="47" spans="2:30" x14ac:dyDescent="0.25">
      <c r="B47" s="3" t="e">
        <f t="shared" si="0"/>
        <v>#N/A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5"/>
    </row>
    <row r="48" spans="2:30" x14ac:dyDescent="0.25">
      <c r="B48" s="3" t="e">
        <f t="shared" si="0"/>
        <v>#N/A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5"/>
    </row>
    <row r="49" spans="2:19" x14ac:dyDescent="0.25">
      <c r="B49" s="3" t="e">
        <f t="shared" si="0"/>
        <v>#N/A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5"/>
    </row>
    <row r="50" spans="2:19" x14ac:dyDescent="0.25">
      <c r="B50" s="3" t="e">
        <f t="shared" si="0"/>
        <v>#N/A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5"/>
    </row>
    <row r="51" spans="2:19" x14ac:dyDescent="0.25">
      <c r="B51" s="3" t="e">
        <f t="shared" si="0"/>
        <v>#N/A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5"/>
    </row>
    <row r="52" spans="2:19" x14ac:dyDescent="0.25">
      <c r="B52" s="3" t="e">
        <f t="shared" si="0"/>
        <v>#N/A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5"/>
    </row>
    <row r="53" spans="2:19" x14ac:dyDescent="0.25">
      <c r="B53" s="3" t="e">
        <f t="shared" si="0"/>
        <v>#N/A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5"/>
    </row>
    <row r="54" spans="2:19" x14ac:dyDescent="0.25">
      <c r="B54" s="3" t="e">
        <f t="shared" si="0"/>
        <v>#N/A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5"/>
    </row>
    <row r="55" spans="2:19" x14ac:dyDescent="0.25">
      <c r="B55" s="3" t="e">
        <f t="shared" si="0"/>
        <v>#N/A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5"/>
    </row>
    <row r="56" spans="2:19" x14ac:dyDescent="0.25">
      <c r="B56" s="3" t="e">
        <f t="shared" si="0"/>
        <v>#N/A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5"/>
    </row>
    <row r="57" spans="2:19" x14ac:dyDescent="0.25">
      <c r="B57" s="3" t="e">
        <f t="shared" si="0"/>
        <v>#N/A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5"/>
    </row>
    <row r="58" spans="2:19" x14ac:dyDescent="0.25">
      <c r="B58" s="3" t="e">
        <f t="shared" si="0"/>
        <v>#N/A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5"/>
    </row>
    <row r="59" spans="2:19" x14ac:dyDescent="0.25">
      <c r="B59" s="3" t="e">
        <f t="shared" si="0"/>
        <v>#N/A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5"/>
    </row>
    <row r="60" spans="2:19" x14ac:dyDescent="0.25">
      <c r="B60" s="3" t="e">
        <f t="shared" si="0"/>
        <v>#N/A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5"/>
    </row>
    <row r="61" spans="2:19" x14ac:dyDescent="0.25">
      <c r="B61" s="3" t="e">
        <f t="shared" si="0"/>
        <v>#N/A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5"/>
    </row>
    <row r="62" spans="2:19" x14ac:dyDescent="0.25">
      <c r="B62" s="3" t="e">
        <f t="shared" si="0"/>
        <v>#N/A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5"/>
    </row>
    <row r="63" spans="2:19" x14ac:dyDescent="0.25">
      <c r="B63" s="3" t="e">
        <f t="shared" si="0"/>
        <v>#N/A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5"/>
    </row>
    <row r="64" spans="2:19" x14ac:dyDescent="0.25">
      <c r="B64" s="3" t="e">
        <f t="shared" si="0"/>
        <v>#N/A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5"/>
    </row>
    <row r="65" spans="2:28" x14ac:dyDescent="0.25">
      <c r="B65" s="3" t="e">
        <f t="shared" si="0"/>
        <v>#N/A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5"/>
    </row>
    <row r="66" spans="2:28" x14ac:dyDescent="0.25">
      <c r="B66" s="3" t="e">
        <f t="shared" si="0"/>
        <v>#N/A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5"/>
    </row>
    <row r="67" spans="2:28" x14ac:dyDescent="0.25">
      <c r="B67" s="3" t="e">
        <f t="shared" si="0"/>
        <v>#N/A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5"/>
    </row>
    <row r="68" spans="2:28" x14ac:dyDescent="0.25">
      <c r="B68" s="3" t="e">
        <f t="shared" si="0"/>
        <v>#N/A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5"/>
    </row>
    <row r="69" spans="2:28" x14ac:dyDescent="0.25">
      <c r="B69" s="3" t="e">
        <f t="shared" si="0"/>
        <v>#N/A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5"/>
    </row>
    <row r="70" spans="2:28" x14ac:dyDescent="0.25">
      <c r="B70" s="3" t="e">
        <f t="shared" ref="B70:B133" si="1">IF(ISNUMBER(D70),D70-D69, NA())</f>
        <v>#N/A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5"/>
    </row>
    <row r="71" spans="2:28" x14ac:dyDescent="0.25">
      <c r="B71" s="3" t="e">
        <f t="shared" si="1"/>
        <v>#N/A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5"/>
    </row>
    <row r="72" spans="2:28" x14ac:dyDescent="0.25">
      <c r="B72" s="3" t="e">
        <f t="shared" si="1"/>
        <v>#N/A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5"/>
      <c r="V72" s="10"/>
      <c r="AB72" s="1"/>
    </row>
    <row r="73" spans="2:28" x14ac:dyDescent="0.25">
      <c r="B73" s="3" t="e">
        <f t="shared" si="1"/>
        <v>#N/A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5"/>
      <c r="AB73" s="1"/>
    </row>
    <row r="74" spans="2:28" x14ac:dyDescent="0.25">
      <c r="B74" s="3" t="e">
        <f t="shared" si="1"/>
        <v>#N/A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5"/>
      <c r="X74" s="7"/>
      <c r="Y74" s="1"/>
      <c r="AB74" s="1"/>
    </row>
    <row r="75" spans="2:28" x14ac:dyDescent="0.25">
      <c r="B75" s="3" t="e">
        <f t="shared" si="1"/>
        <v>#N/A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5"/>
      <c r="X75" s="7"/>
      <c r="Y75" s="1"/>
      <c r="AB75" s="1"/>
    </row>
    <row r="76" spans="2:28" x14ac:dyDescent="0.25">
      <c r="B76" s="3" t="e">
        <f t="shared" si="1"/>
        <v>#N/A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5"/>
      <c r="X76" s="7"/>
      <c r="Y76" s="1"/>
      <c r="AB76" s="1"/>
    </row>
    <row r="77" spans="2:28" x14ac:dyDescent="0.25">
      <c r="B77" s="3" t="e">
        <f t="shared" si="1"/>
        <v>#N/A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5"/>
      <c r="X77" s="7"/>
      <c r="Y77" s="1"/>
      <c r="AB77" s="1"/>
    </row>
    <row r="78" spans="2:28" x14ac:dyDescent="0.25">
      <c r="B78" s="3" t="e">
        <f t="shared" si="1"/>
        <v>#N/A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5"/>
      <c r="X78" s="7"/>
      <c r="Y78" s="1"/>
      <c r="AB78" s="1"/>
    </row>
    <row r="79" spans="2:28" x14ac:dyDescent="0.25">
      <c r="B79" s="3" t="e">
        <f t="shared" si="1"/>
        <v>#N/A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5"/>
      <c r="X79" s="7"/>
      <c r="Y79" s="1"/>
      <c r="AB79" s="1"/>
    </row>
    <row r="80" spans="2:28" x14ac:dyDescent="0.25">
      <c r="B80" s="3" t="e">
        <f t="shared" si="1"/>
        <v>#N/A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5"/>
      <c r="X80" s="7"/>
      <c r="Y80" s="1"/>
      <c r="AB80" s="1"/>
    </row>
    <row r="81" spans="2:28" x14ac:dyDescent="0.25">
      <c r="B81" s="3" t="e">
        <f t="shared" si="1"/>
        <v>#N/A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5"/>
      <c r="X81" s="7"/>
      <c r="Y81" s="1"/>
      <c r="AB81" s="1"/>
    </row>
    <row r="82" spans="2:28" x14ac:dyDescent="0.25">
      <c r="B82" s="3" t="e">
        <f t="shared" si="1"/>
        <v>#N/A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5"/>
      <c r="X82" s="7"/>
      <c r="Y82" s="1"/>
      <c r="AB82" s="1"/>
    </row>
    <row r="83" spans="2:28" x14ac:dyDescent="0.25">
      <c r="B83" s="3" t="e">
        <f t="shared" si="1"/>
        <v>#N/A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5"/>
      <c r="X83" s="7"/>
      <c r="Y83" s="1"/>
      <c r="AB83" s="1"/>
    </row>
    <row r="84" spans="2:28" x14ac:dyDescent="0.25">
      <c r="B84" s="3" t="e">
        <f t="shared" si="1"/>
        <v>#N/A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5"/>
      <c r="X84" s="7"/>
      <c r="Y84" s="1"/>
      <c r="AB84" s="1"/>
    </row>
    <row r="85" spans="2:28" x14ac:dyDescent="0.25">
      <c r="B85" s="3" t="e">
        <f t="shared" si="1"/>
        <v>#N/A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5"/>
      <c r="X85" s="7"/>
      <c r="Y85" s="1"/>
      <c r="AB85" s="1"/>
    </row>
    <row r="86" spans="2:28" x14ac:dyDescent="0.25">
      <c r="B86" s="3" t="e">
        <f t="shared" si="1"/>
        <v>#N/A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5"/>
      <c r="X86" s="7"/>
      <c r="Y86" s="1"/>
      <c r="AB86" s="1"/>
    </row>
    <row r="87" spans="2:28" x14ac:dyDescent="0.25">
      <c r="B87" s="3" t="e">
        <f t="shared" si="1"/>
        <v>#N/A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5"/>
      <c r="X87" s="7"/>
      <c r="Y87" s="1"/>
      <c r="AB87" s="1"/>
    </row>
    <row r="88" spans="2:28" x14ac:dyDescent="0.25">
      <c r="B88" s="3" t="e">
        <f t="shared" si="1"/>
        <v>#N/A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5"/>
      <c r="X88" s="7"/>
      <c r="Y88" s="1"/>
      <c r="AB88" s="1"/>
    </row>
    <row r="89" spans="2:28" x14ac:dyDescent="0.25">
      <c r="B89" s="3" t="e">
        <f t="shared" si="1"/>
        <v>#N/A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5"/>
      <c r="X89" s="7"/>
      <c r="Y89" s="1"/>
      <c r="AB89" s="1"/>
    </row>
    <row r="90" spans="2:28" x14ac:dyDescent="0.25">
      <c r="B90" s="3" t="e">
        <f t="shared" si="1"/>
        <v>#N/A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5"/>
      <c r="X90" s="7"/>
      <c r="Y90" s="1"/>
      <c r="AB90" s="1"/>
    </row>
    <row r="91" spans="2:28" x14ac:dyDescent="0.25">
      <c r="B91" s="3" t="e">
        <f t="shared" si="1"/>
        <v>#N/A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5"/>
      <c r="X91" s="7"/>
      <c r="Y91" s="1"/>
      <c r="AB91" s="1"/>
    </row>
    <row r="92" spans="2:28" x14ac:dyDescent="0.25">
      <c r="B92" s="3" t="e">
        <f t="shared" si="1"/>
        <v>#N/A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5"/>
      <c r="X92" s="7"/>
      <c r="Y92" s="1"/>
      <c r="AB92" s="1"/>
    </row>
    <row r="93" spans="2:28" x14ac:dyDescent="0.25">
      <c r="B93" s="3" t="e">
        <f t="shared" si="1"/>
        <v>#N/A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5"/>
      <c r="X93" s="7"/>
      <c r="Y93" s="1"/>
      <c r="AB93" s="1"/>
    </row>
    <row r="94" spans="2:28" x14ac:dyDescent="0.25">
      <c r="B94" s="3" t="e">
        <f t="shared" si="1"/>
        <v>#N/A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5"/>
      <c r="X94" s="7"/>
      <c r="Y94" s="1"/>
      <c r="AB94" s="1"/>
    </row>
    <row r="95" spans="2:28" x14ac:dyDescent="0.25">
      <c r="B95" s="3" t="e">
        <f t="shared" si="1"/>
        <v>#N/A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5"/>
      <c r="X95" s="7"/>
      <c r="Y95" s="1"/>
      <c r="AB95" s="1"/>
    </row>
    <row r="96" spans="2:28" x14ac:dyDescent="0.25">
      <c r="B96" s="3" t="e">
        <f t="shared" si="1"/>
        <v>#N/A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5"/>
      <c r="X96" s="7"/>
      <c r="Y96" s="1"/>
      <c r="AB96" s="1"/>
    </row>
    <row r="97" spans="2:28" x14ac:dyDescent="0.25">
      <c r="B97" s="3" t="e">
        <f t="shared" si="1"/>
        <v>#N/A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5"/>
      <c r="X97" s="7"/>
      <c r="Y97" s="1"/>
      <c r="AB97" s="1"/>
    </row>
    <row r="98" spans="2:28" x14ac:dyDescent="0.25">
      <c r="B98" s="3" t="e">
        <f t="shared" si="1"/>
        <v>#N/A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5"/>
      <c r="X98" s="7"/>
      <c r="Y98" s="1"/>
      <c r="AB98" s="1"/>
    </row>
    <row r="99" spans="2:28" x14ac:dyDescent="0.25">
      <c r="B99" s="3" t="e">
        <f t="shared" si="1"/>
        <v>#N/A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5"/>
      <c r="X99" s="7"/>
      <c r="Y99" s="1"/>
      <c r="AB99" s="1"/>
    </row>
    <row r="100" spans="2:28" x14ac:dyDescent="0.25">
      <c r="B100" s="3" t="e">
        <f t="shared" si="1"/>
        <v>#N/A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5"/>
      <c r="X100" s="7"/>
      <c r="Y100" s="1"/>
      <c r="AB100" s="1"/>
    </row>
    <row r="101" spans="2:28" x14ac:dyDescent="0.25">
      <c r="B101" s="3" t="e">
        <f t="shared" si="1"/>
        <v>#N/A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5"/>
      <c r="X101" s="7"/>
      <c r="Y101" s="1"/>
      <c r="AB101" s="1"/>
    </row>
    <row r="102" spans="2:28" x14ac:dyDescent="0.25">
      <c r="B102" s="3" t="e">
        <f t="shared" si="1"/>
        <v>#N/A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5"/>
      <c r="X102" s="7"/>
      <c r="Y102" s="1"/>
      <c r="AB102" s="1"/>
    </row>
    <row r="103" spans="2:28" x14ac:dyDescent="0.25">
      <c r="B103" s="3" t="e">
        <f t="shared" si="1"/>
        <v>#N/A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5"/>
      <c r="X103" s="7"/>
      <c r="Y103" s="1"/>
      <c r="AB103" s="1"/>
    </row>
    <row r="104" spans="2:28" x14ac:dyDescent="0.25">
      <c r="B104" s="3" t="e">
        <f t="shared" si="1"/>
        <v>#N/A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5"/>
      <c r="X104" s="7"/>
      <c r="Y104" s="1"/>
      <c r="AB104" s="1"/>
    </row>
    <row r="105" spans="2:28" x14ac:dyDescent="0.25">
      <c r="B105" s="3" t="e">
        <f t="shared" si="1"/>
        <v>#N/A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5"/>
      <c r="X105" s="7"/>
      <c r="Y105" s="1"/>
      <c r="AB105" s="1"/>
    </row>
    <row r="106" spans="2:28" x14ac:dyDescent="0.25">
      <c r="B106" s="3" t="e">
        <f t="shared" si="1"/>
        <v>#N/A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5"/>
      <c r="X106" s="7"/>
      <c r="Y106" s="1"/>
      <c r="AB106" s="1"/>
    </row>
    <row r="107" spans="2:28" x14ac:dyDescent="0.25">
      <c r="B107" s="3" t="e">
        <f t="shared" si="1"/>
        <v>#N/A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5"/>
      <c r="X107" s="7"/>
      <c r="Y107" s="1"/>
      <c r="AB107" s="1"/>
    </row>
    <row r="108" spans="2:28" x14ac:dyDescent="0.25">
      <c r="B108" s="3" t="e">
        <f t="shared" si="1"/>
        <v>#N/A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5"/>
      <c r="X108" s="7"/>
      <c r="Y108" s="1"/>
      <c r="AB108" s="1"/>
    </row>
    <row r="109" spans="2:28" x14ac:dyDescent="0.25">
      <c r="B109" s="3" t="e">
        <f t="shared" si="1"/>
        <v>#N/A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5"/>
      <c r="X109" s="7"/>
      <c r="Y109" s="1"/>
      <c r="AB109" s="1"/>
    </row>
    <row r="110" spans="2:28" x14ac:dyDescent="0.25">
      <c r="B110" s="3" t="e">
        <f t="shared" si="1"/>
        <v>#N/A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5"/>
      <c r="X110" s="7"/>
      <c r="Y110" s="1"/>
      <c r="AB110" s="1"/>
    </row>
    <row r="111" spans="2:28" x14ac:dyDescent="0.25">
      <c r="B111" s="3" t="e">
        <f t="shared" si="1"/>
        <v>#N/A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5"/>
      <c r="X111" s="7"/>
      <c r="Y111" s="1"/>
      <c r="AB111" s="1"/>
    </row>
    <row r="112" spans="2:28" x14ac:dyDescent="0.25">
      <c r="B112" s="3" t="e">
        <f t="shared" si="1"/>
        <v>#N/A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5"/>
      <c r="X112" s="7"/>
      <c r="Y112" s="1"/>
      <c r="AB112" s="1"/>
    </row>
    <row r="113" spans="2:28" x14ac:dyDescent="0.25">
      <c r="B113" s="3" t="e">
        <f t="shared" si="1"/>
        <v>#N/A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5"/>
      <c r="X113" s="7"/>
      <c r="Y113" s="1"/>
      <c r="AB113" s="1"/>
    </row>
    <row r="114" spans="2:28" x14ac:dyDescent="0.25">
      <c r="B114" s="3" t="e">
        <f t="shared" si="1"/>
        <v>#N/A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5"/>
      <c r="X114" s="7"/>
      <c r="Y114" s="1"/>
      <c r="AB114" s="1"/>
    </row>
    <row r="115" spans="2:28" x14ac:dyDescent="0.25">
      <c r="B115" s="3" t="e">
        <f t="shared" si="1"/>
        <v>#N/A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5"/>
      <c r="X115" s="7"/>
      <c r="Y115" s="1"/>
      <c r="AB115" s="1"/>
    </row>
    <row r="116" spans="2:28" x14ac:dyDescent="0.25">
      <c r="B116" s="3" t="e">
        <f t="shared" si="1"/>
        <v>#N/A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5"/>
      <c r="X116" s="7"/>
      <c r="Y116" s="1"/>
      <c r="AB116" s="1"/>
    </row>
    <row r="117" spans="2:28" x14ac:dyDescent="0.25">
      <c r="B117" s="3" t="e">
        <f t="shared" si="1"/>
        <v>#N/A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5"/>
      <c r="X117" s="7"/>
      <c r="Y117" s="1"/>
      <c r="AB117" s="1"/>
    </row>
    <row r="118" spans="2:28" x14ac:dyDescent="0.25">
      <c r="B118" s="3" t="e">
        <f t="shared" si="1"/>
        <v>#N/A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5"/>
      <c r="X118" s="7"/>
      <c r="Y118" s="1"/>
      <c r="AB118" s="1"/>
    </row>
    <row r="119" spans="2:28" x14ac:dyDescent="0.25">
      <c r="B119" s="3" t="e">
        <f t="shared" si="1"/>
        <v>#N/A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5"/>
      <c r="X119" s="7"/>
      <c r="Y119" s="1"/>
      <c r="AB119" s="1"/>
    </row>
    <row r="120" spans="2:28" x14ac:dyDescent="0.25">
      <c r="B120" s="3" t="e">
        <f t="shared" si="1"/>
        <v>#N/A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5"/>
      <c r="X120" s="7"/>
      <c r="Y120" s="1"/>
      <c r="AB120" s="1"/>
    </row>
    <row r="121" spans="2:28" x14ac:dyDescent="0.25">
      <c r="B121" s="3" t="e">
        <f t="shared" si="1"/>
        <v>#N/A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5"/>
      <c r="X121" s="7"/>
      <c r="Y121" s="1"/>
      <c r="AB121" s="1"/>
    </row>
    <row r="122" spans="2:28" x14ac:dyDescent="0.25">
      <c r="B122" s="3" t="e">
        <f t="shared" si="1"/>
        <v>#N/A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5"/>
      <c r="X122" s="7"/>
      <c r="Y122" s="1"/>
      <c r="AB122" s="1"/>
    </row>
    <row r="123" spans="2:28" x14ac:dyDescent="0.25">
      <c r="B123" s="3" t="e">
        <f t="shared" si="1"/>
        <v>#N/A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5"/>
      <c r="X123" s="7"/>
      <c r="Y123" s="1"/>
      <c r="AB123" s="1"/>
    </row>
    <row r="124" spans="2:28" x14ac:dyDescent="0.25">
      <c r="B124" s="3" t="e">
        <f t="shared" si="1"/>
        <v>#N/A</v>
      </c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5"/>
      <c r="X124" s="7"/>
      <c r="Y124" s="1"/>
      <c r="AB124" s="1"/>
    </row>
    <row r="125" spans="2:28" x14ac:dyDescent="0.25">
      <c r="B125" s="3" t="e">
        <f t="shared" si="1"/>
        <v>#N/A</v>
      </c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5"/>
      <c r="X125" s="7"/>
      <c r="Y125" s="1"/>
      <c r="AB125" s="1"/>
    </row>
    <row r="126" spans="2:28" x14ac:dyDescent="0.25">
      <c r="B126" s="3" t="e">
        <f t="shared" si="1"/>
        <v>#N/A</v>
      </c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5"/>
      <c r="X126" s="7"/>
      <c r="Y126" s="1"/>
      <c r="AB126" s="1"/>
    </row>
    <row r="127" spans="2:28" x14ac:dyDescent="0.25">
      <c r="B127" s="3" t="e">
        <f t="shared" si="1"/>
        <v>#N/A</v>
      </c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5"/>
      <c r="X127" s="7"/>
      <c r="Y127" s="1"/>
      <c r="AB127" s="1"/>
    </row>
    <row r="128" spans="2:28" x14ac:dyDescent="0.25">
      <c r="B128" s="3" t="e">
        <f t="shared" si="1"/>
        <v>#N/A</v>
      </c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5"/>
      <c r="X128" s="7"/>
      <c r="Y128" s="1"/>
      <c r="AB128" s="1"/>
    </row>
    <row r="129" spans="2:28" x14ac:dyDescent="0.25">
      <c r="B129" s="3" t="e">
        <f t="shared" si="1"/>
        <v>#N/A</v>
      </c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5"/>
      <c r="X129" s="7"/>
      <c r="Y129" s="1"/>
      <c r="AB129" s="1"/>
    </row>
    <row r="130" spans="2:28" x14ac:dyDescent="0.25">
      <c r="B130" s="3" t="e">
        <f t="shared" si="1"/>
        <v>#N/A</v>
      </c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5"/>
      <c r="X130" s="7"/>
      <c r="Y130" s="1"/>
      <c r="AB130" s="1"/>
    </row>
    <row r="131" spans="2:28" x14ac:dyDescent="0.25">
      <c r="B131" s="3" t="e">
        <f t="shared" si="1"/>
        <v>#N/A</v>
      </c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5"/>
      <c r="X131" s="7"/>
      <c r="Y131" s="1"/>
      <c r="AB131" s="1"/>
    </row>
    <row r="132" spans="2:28" x14ac:dyDescent="0.25">
      <c r="B132" s="3" t="e">
        <f t="shared" si="1"/>
        <v>#N/A</v>
      </c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5"/>
      <c r="X132" s="7"/>
      <c r="Y132" s="1"/>
      <c r="AB132" s="1"/>
    </row>
    <row r="133" spans="2:28" x14ac:dyDescent="0.25">
      <c r="B133" s="3" t="e">
        <f t="shared" si="1"/>
        <v>#N/A</v>
      </c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5"/>
      <c r="X133" s="7"/>
      <c r="Y133" s="1"/>
      <c r="AB133" s="1"/>
    </row>
    <row r="134" spans="2:28" x14ac:dyDescent="0.25">
      <c r="B134" s="3" t="e">
        <f t="shared" ref="B134:B197" si="2">IF(ISNUMBER(D134),D134-D133, NA())</f>
        <v>#N/A</v>
      </c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5"/>
      <c r="X134" s="7"/>
      <c r="Y134" s="1"/>
      <c r="AB134" s="1"/>
    </row>
    <row r="135" spans="2:28" x14ac:dyDescent="0.25">
      <c r="B135" s="3" t="e">
        <f t="shared" si="2"/>
        <v>#N/A</v>
      </c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5"/>
      <c r="X135" s="7"/>
      <c r="Y135" s="1"/>
      <c r="AB135" s="1"/>
    </row>
    <row r="136" spans="2:28" x14ac:dyDescent="0.25">
      <c r="B136" s="3" t="e">
        <f t="shared" si="2"/>
        <v>#N/A</v>
      </c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5"/>
      <c r="X136" s="7"/>
      <c r="Y136" s="1"/>
      <c r="AB136" s="1"/>
    </row>
    <row r="137" spans="2:28" x14ac:dyDescent="0.25">
      <c r="B137" s="3" t="e">
        <f t="shared" si="2"/>
        <v>#N/A</v>
      </c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5"/>
      <c r="X137" s="7"/>
      <c r="Y137" s="1"/>
      <c r="AB137" s="1"/>
    </row>
    <row r="138" spans="2:28" x14ac:dyDescent="0.25">
      <c r="B138" s="3" t="e">
        <f t="shared" si="2"/>
        <v>#N/A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5"/>
      <c r="X138" s="7"/>
      <c r="Y138" s="1"/>
      <c r="AB138" s="1"/>
    </row>
    <row r="139" spans="2:28" x14ac:dyDescent="0.25">
      <c r="B139" s="3" t="e">
        <f t="shared" si="2"/>
        <v>#N/A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5"/>
      <c r="X139" s="7"/>
      <c r="Y139" s="1"/>
      <c r="AB139" s="1"/>
    </row>
    <row r="140" spans="2:28" x14ac:dyDescent="0.25">
      <c r="B140" s="3" t="e">
        <f t="shared" si="2"/>
        <v>#N/A</v>
      </c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5"/>
      <c r="X140" s="7"/>
      <c r="Y140" s="1"/>
      <c r="AB140" s="1"/>
    </row>
    <row r="141" spans="2:28" x14ac:dyDescent="0.25">
      <c r="B141" s="3" t="e">
        <f t="shared" si="2"/>
        <v>#N/A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5"/>
      <c r="X141" s="7"/>
      <c r="Y141" s="1"/>
      <c r="AB141" s="1"/>
    </row>
    <row r="142" spans="2:28" x14ac:dyDescent="0.25">
      <c r="B142" s="3" t="e">
        <f t="shared" si="2"/>
        <v>#N/A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5"/>
      <c r="X142" s="7"/>
      <c r="Y142" s="1"/>
      <c r="AB142" s="1"/>
    </row>
    <row r="143" spans="2:28" x14ac:dyDescent="0.25">
      <c r="B143" s="3" t="e">
        <f t="shared" si="2"/>
        <v>#N/A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5"/>
      <c r="X143" s="7"/>
      <c r="Y143" s="1"/>
      <c r="AB143" s="1"/>
    </row>
    <row r="144" spans="2:28" x14ac:dyDescent="0.25">
      <c r="B144" s="3" t="e">
        <f t="shared" si="2"/>
        <v>#N/A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5"/>
      <c r="X144" s="7"/>
      <c r="Y144" s="1"/>
      <c r="AB144" s="1"/>
    </row>
    <row r="145" spans="2:28" x14ac:dyDescent="0.25">
      <c r="B145" s="3" t="e">
        <f t="shared" si="2"/>
        <v>#N/A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5"/>
      <c r="X145" s="7"/>
      <c r="Y145" s="1"/>
      <c r="AB145" s="1"/>
    </row>
    <row r="146" spans="2:28" x14ac:dyDescent="0.25">
      <c r="B146" s="3" t="e">
        <f t="shared" si="2"/>
        <v>#N/A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5"/>
      <c r="X146" s="7"/>
      <c r="Y146" s="1"/>
      <c r="AB146" s="1"/>
    </row>
    <row r="147" spans="2:28" x14ac:dyDescent="0.25">
      <c r="B147" s="3" t="e">
        <f t="shared" si="2"/>
        <v>#N/A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5"/>
      <c r="X147" s="7"/>
      <c r="Y147" s="1"/>
      <c r="AB147" s="1"/>
    </row>
    <row r="148" spans="2:28" x14ac:dyDescent="0.25">
      <c r="B148" s="3" t="e">
        <f t="shared" si="2"/>
        <v>#N/A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5"/>
      <c r="X148" s="7"/>
      <c r="Y148" s="1"/>
      <c r="AB148" s="1"/>
    </row>
    <row r="149" spans="2:28" x14ac:dyDescent="0.25">
      <c r="B149" s="3" t="e">
        <f t="shared" si="2"/>
        <v>#N/A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5"/>
      <c r="X149" s="7"/>
      <c r="Y149" s="1"/>
      <c r="AB149" s="1"/>
    </row>
    <row r="150" spans="2:28" x14ac:dyDescent="0.25">
      <c r="B150" s="3" t="e">
        <f t="shared" si="2"/>
        <v>#N/A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5"/>
      <c r="X150" s="7"/>
      <c r="Y150" s="1"/>
      <c r="AB150" s="1"/>
    </row>
    <row r="151" spans="2:28" x14ac:dyDescent="0.25">
      <c r="B151" s="3" t="e">
        <f t="shared" si="2"/>
        <v>#N/A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5"/>
      <c r="X151" s="7"/>
      <c r="Y151" s="1"/>
      <c r="AB151" s="1"/>
    </row>
    <row r="152" spans="2:28" x14ac:dyDescent="0.25">
      <c r="B152" s="3" t="e">
        <f t="shared" si="2"/>
        <v>#N/A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5"/>
      <c r="X152" s="7"/>
      <c r="Y152" s="1"/>
      <c r="AB152" s="1"/>
    </row>
    <row r="153" spans="2:28" x14ac:dyDescent="0.25">
      <c r="B153" s="3" t="e">
        <f t="shared" si="2"/>
        <v>#N/A</v>
      </c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5"/>
      <c r="X153" s="7"/>
      <c r="Y153" s="1"/>
      <c r="AB153" s="1"/>
    </row>
    <row r="154" spans="2:28" x14ac:dyDescent="0.25">
      <c r="B154" s="3" t="e">
        <f t="shared" si="2"/>
        <v>#N/A</v>
      </c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5"/>
      <c r="X154" s="7"/>
      <c r="Y154" s="1"/>
      <c r="AB154" s="1"/>
    </row>
    <row r="155" spans="2:28" x14ac:dyDescent="0.25">
      <c r="B155" s="3" t="e">
        <f t="shared" si="2"/>
        <v>#N/A</v>
      </c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5"/>
      <c r="X155" s="7"/>
      <c r="Y155" s="1"/>
      <c r="AB155" s="1"/>
    </row>
    <row r="156" spans="2:28" x14ac:dyDescent="0.25">
      <c r="B156" s="3" t="e">
        <f t="shared" si="2"/>
        <v>#N/A</v>
      </c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5"/>
      <c r="X156" s="7"/>
      <c r="Y156" s="1"/>
      <c r="AB156" s="1"/>
    </row>
    <row r="157" spans="2:28" x14ac:dyDescent="0.25">
      <c r="B157" s="3" t="e">
        <f t="shared" si="2"/>
        <v>#N/A</v>
      </c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5"/>
      <c r="X157" s="7"/>
      <c r="Y157" s="1"/>
      <c r="AB157" s="1"/>
    </row>
    <row r="158" spans="2:28" x14ac:dyDescent="0.25">
      <c r="B158" s="3" t="e">
        <f t="shared" si="2"/>
        <v>#N/A</v>
      </c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5"/>
      <c r="X158" s="7"/>
      <c r="Y158" s="1"/>
      <c r="AB158" s="1"/>
    </row>
    <row r="159" spans="2:28" x14ac:dyDescent="0.25">
      <c r="B159" s="3" t="e">
        <f t="shared" si="2"/>
        <v>#N/A</v>
      </c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5"/>
      <c r="X159" s="7"/>
      <c r="Y159" s="1"/>
      <c r="AB159" s="1"/>
    </row>
    <row r="160" spans="2:28" x14ac:dyDescent="0.25">
      <c r="B160" s="3" t="e">
        <f t="shared" si="2"/>
        <v>#N/A</v>
      </c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5"/>
      <c r="X160" s="7"/>
      <c r="Y160" s="1"/>
      <c r="AB160" s="1"/>
    </row>
    <row r="161" spans="2:28" x14ac:dyDescent="0.25">
      <c r="B161" s="3" t="e">
        <f t="shared" si="2"/>
        <v>#N/A</v>
      </c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5"/>
      <c r="X161" s="7"/>
      <c r="Y161" s="1"/>
      <c r="AB161" s="1"/>
    </row>
    <row r="162" spans="2:28" x14ac:dyDescent="0.25">
      <c r="B162" s="3" t="e">
        <f t="shared" si="2"/>
        <v>#N/A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5"/>
      <c r="X162" s="7"/>
      <c r="Y162" s="1"/>
      <c r="AB162" s="1"/>
    </row>
    <row r="163" spans="2:28" x14ac:dyDescent="0.25">
      <c r="B163" s="3" t="e">
        <f t="shared" si="2"/>
        <v>#N/A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5"/>
      <c r="X163" s="7"/>
      <c r="Y163" s="1"/>
      <c r="AB163" s="1"/>
    </row>
    <row r="164" spans="2:28" x14ac:dyDescent="0.25">
      <c r="B164" s="3" t="e">
        <f t="shared" si="2"/>
        <v>#N/A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5"/>
      <c r="X164" s="7"/>
      <c r="Y164" s="1"/>
      <c r="AB164" s="1"/>
    </row>
    <row r="165" spans="2:28" x14ac:dyDescent="0.25">
      <c r="B165" s="3" t="e">
        <f t="shared" si="2"/>
        <v>#N/A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5"/>
      <c r="X165" s="7"/>
      <c r="Y165" s="1"/>
      <c r="AB165" s="1"/>
    </row>
    <row r="166" spans="2:28" x14ac:dyDescent="0.25">
      <c r="B166" s="3" t="e">
        <f t="shared" si="2"/>
        <v>#N/A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5"/>
      <c r="X166" s="7"/>
      <c r="Y166" s="1"/>
      <c r="AB166" s="1"/>
    </row>
    <row r="167" spans="2:28" x14ac:dyDescent="0.25">
      <c r="B167" s="3" t="e">
        <f t="shared" si="2"/>
        <v>#N/A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5"/>
      <c r="X167" s="7"/>
      <c r="Y167" s="1"/>
      <c r="AB167" s="1"/>
    </row>
    <row r="168" spans="2:28" x14ac:dyDescent="0.25">
      <c r="B168" s="3" t="e">
        <f t="shared" si="2"/>
        <v>#N/A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5"/>
      <c r="X168" s="7"/>
      <c r="Y168" s="1"/>
      <c r="AB168" s="1"/>
    </row>
    <row r="169" spans="2:28" x14ac:dyDescent="0.25">
      <c r="B169" s="3" t="e">
        <f t="shared" si="2"/>
        <v>#N/A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5"/>
      <c r="X169" s="7"/>
      <c r="Y169" s="1"/>
      <c r="AB169" s="1"/>
    </row>
    <row r="170" spans="2:28" x14ac:dyDescent="0.25">
      <c r="B170" s="3" t="e">
        <f t="shared" si="2"/>
        <v>#N/A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5"/>
      <c r="X170" s="7"/>
      <c r="Y170" s="1"/>
      <c r="AB170" s="1"/>
    </row>
    <row r="171" spans="2:28" x14ac:dyDescent="0.25">
      <c r="B171" s="3" t="e">
        <f t="shared" si="2"/>
        <v>#N/A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5"/>
      <c r="X171" s="7"/>
      <c r="Y171" s="1"/>
      <c r="AB171" s="1"/>
    </row>
    <row r="172" spans="2:28" x14ac:dyDescent="0.25">
      <c r="B172" s="3" t="e">
        <f t="shared" si="2"/>
        <v>#N/A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5"/>
      <c r="X172" s="7"/>
      <c r="Y172" s="1"/>
      <c r="AB172" s="1"/>
    </row>
    <row r="173" spans="2:28" x14ac:dyDescent="0.25">
      <c r="B173" s="3" t="e">
        <f t="shared" si="2"/>
        <v>#N/A</v>
      </c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5"/>
      <c r="X173" s="7"/>
      <c r="Y173" s="1"/>
      <c r="AB173" s="1"/>
    </row>
    <row r="174" spans="2:28" x14ac:dyDescent="0.25">
      <c r="B174" s="3" t="e">
        <f t="shared" si="2"/>
        <v>#N/A</v>
      </c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5"/>
      <c r="X174" s="7"/>
      <c r="Y174" s="1"/>
      <c r="AB174" s="1"/>
    </row>
    <row r="175" spans="2:28" x14ac:dyDescent="0.25">
      <c r="B175" s="3" t="e">
        <f t="shared" si="2"/>
        <v>#N/A</v>
      </c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5"/>
      <c r="X175" s="7"/>
      <c r="Y175" s="1"/>
      <c r="AB175" s="1"/>
    </row>
    <row r="176" spans="2:28" x14ac:dyDescent="0.25">
      <c r="B176" s="3" t="e">
        <f t="shared" si="2"/>
        <v>#N/A</v>
      </c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5"/>
      <c r="X176" s="7"/>
      <c r="Y176" s="1"/>
      <c r="AB176" s="1"/>
    </row>
    <row r="177" spans="2:28" x14ac:dyDescent="0.25">
      <c r="B177" s="3" t="e">
        <f t="shared" si="2"/>
        <v>#N/A</v>
      </c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5"/>
      <c r="X177" s="7"/>
      <c r="Y177" s="1"/>
      <c r="AB177" s="1"/>
    </row>
    <row r="178" spans="2:28" x14ac:dyDescent="0.25">
      <c r="B178" s="3" t="e">
        <f t="shared" si="2"/>
        <v>#N/A</v>
      </c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5"/>
      <c r="X178" s="7"/>
      <c r="Y178" s="1"/>
      <c r="AB178" s="1"/>
    </row>
    <row r="179" spans="2:28" x14ac:dyDescent="0.25">
      <c r="B179" s="3" t="e">
        <f t="shared" si="2"/>
        <v>#N/A</v>
      </c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5"/>
      <c r="T179" s="9"/>
      <c r="X179" s="7"/>
      <c r="Y179" s="1"/>
      <c r="AB179" s="1"/>
    </row>
    <row r="180" spans="2:28" x14ac:dyDescent="0.25">
      <c r="B180" s="3" t="e">
        <f t="shared" si="2"/>
        <v>#N/A</v>
      </c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5"/>
      <c r="X180" s="7"/>
      <c r="Y180" s="1"/>
      <c r="AB180" s="1"/>
    </row>
    <row r="181" spans="2:28" x14ac:dyDescent="0.25">
      <c r="B181" s="3" t="e">
        <f t="shared" si="2"/>
        <v>#N/A</v>
      </c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5"/>
      <c r="X181" s="7"/>
      <c r="Y181" s="1"/>
      <c r="AB181" s="1"/>
    </row>
    <row r="182" spans="2:28" x14ac:dyDescent="0.25">
      <c r="B182" s="3" t="e">
        <f t="shared" si="2"/>
        <v>#N/A</v>
      </c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5"/>
      <c r="X182" s="7"/>
      <c r="Y182" s="1"/>
      <c r="AB182" s="1"/>
    </row>
    <row r="183" spans="2:28" x14ac:dyDescent="0.25">
      <c r="B183" s="3" t="e">
        <f t="shared" si="2"/>
        <v>#N/A</v>
      </c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5"/>
      <c r="X183" s="7"/>
      <c r="Y183" s="1"/>
      <c r="AB183" s="1"/>
    </row>
    <row r="184" spans="2:28" x14ac:dyDescent="0.25">
      <c r="B184" s="3" t="e">
        <f t="shared" si="2"/>
        <v>#N/A</v>
      </c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5"/>
      <c r="X184" s="7"/>
      <c r="Y184" s="1"/>
      <c r="AB184" s="1"/>
    </row>
    <row r="185" spans="2:28" x14ac:dyDescent="0.25">
      <c r="B185" s="3" t="e">
        <f t="shared" si="2"/>
        <v>#N/A</v>
      </c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5"/>
      <c r="X185" s="7"/>
      <c r="Y185" s="1"/>
      <c r="AB185" s="1"/>
    </row>
    <row r="186" spans="2:28" x14ac:dyDescent="0.25">
      <c r="B186" s="3" t="e">
        <f t="shared" si="2"/>
        <v>#N/A</v>
      </c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5"/>
      <c r="X186" s="7"/>
      <c r="Y186" s="1"/>
      <c r="AB186" s="1"/>
    </row>
    <row r="187" spans="2:28" x14ac:dyDescent="0.25">
      <c r="B187" s="3" t="e">
        <f t="shared" si="2"/>
        <v>#N/A</v>
      </c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5"/>
      <c r="X187" s="7"/>
      <c r="Y187" s="1"/>
      <c r="AB187" s="1"/>
    </row>
    <row r="188" spans="2:28" x14ac:dyDescent="0.25">
      <c r="B188" s="3" t="e">
        <f t="shared" si="2"/>
        <v>#N/A</v>
      </c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5"/>
      <c r="X188" s="7"/>
      <c r="Y188" s="1"/>
      <c r="AB188" s="1"/>
    </row>
    <row r="189" spans="2:28" x14ac:dyDescent="0.25">
      <c r="B189" s="3" t="e">
        <f t="shared" si="2"/>
        <v>#N/A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5"/>
      <c r="X189" s="7"/>
      <c r="Y189" s="1"/>
      <c r="AB189" s="1"/>
    </row>
    <row r="190" spans="2:28" x14ac:dyDescent="0.25">
      <c r="B190" s="3" t="e">
        <f t="shared" si="2"/>
        <v>#N/A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5"/>
      <c r="X190" s="7"/>
      <c r="Y190" s="1"/>
      <c r="AB190" s="1"/>
    </row>
    <row r="191" spans="2:28" x14ac:dyDescent="0.25">
      <c r="B191" s="3" t="e">
        <f t="shared" si="2"/>
        <v>#N/A</v>
      </c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5"/>
      <c r="X191" s="7"/>
      <c r="Y191" s="1"/>
      <c r="AB191" s="1"/>
    </row>
    <row r="192" spans="2:28" x14ac:dyDescent="0.25">
      <c r="B192" s="3" t="e">
        <f t="shared" si="2"/>
        <v>#N/A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5"/>
      <c r="X192" s="7"/>
      <c r="Y192" s="1"/>
      <c r="AB192" s="1"/>
    </row>
    <row r="193" spans="2:28" x14ac:dyDescent="0.25">
      <c r="B193" s="3" t="e">
        <f t="shared" si="2"/>
        <v>#N/A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5"/>
      <c r="X193" s="7"/>
      <c r="Y193" s="1"/>
      <c r="AB193" s="1"/>
    </row>
    <row r="194" spans="2:28" x14ac:dyDescent="0.25">
      <c r="B194" s="3" t="e">
        <f t="shared" si="2"/>
        <v>#N/A</v>
      </c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5"/>
      <c r="X194" s="7"/>
      <c r="Y194" s="1"/>
      <c r="AB194" s="1"/>
    </row>
    <row r="195" spans="2:28" x14ac:dyDescent="0.25">
      <c r="B195" s="3" t="e">
        <f t="shared" si="2"/>
        <v>#N/A</v>
      </c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5"/>
      <c r="X195" s="7"/>
      <c r="Y195" s="1"/>
      <c r="AB195" s="1"/>
    </row>
    <row r="196" spans="2:28" x14ac:dyDescent="0.25">
      <c r="B196" s="3" t="e">
        <f t="shared" si="2"/>
        <v>#N/A</v>
      </c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5"/>
      <c r="X196" s="7"/>
      <c r="Y196" s="1"/>
      <c r="AB196" s="1"/>
    </row>
    <row r="197" spans="2:28" x14ac:dyDescent="0.25">
      <c r="B197" s="3" t="e">
        <f t="shared" si="2"/>
        <v>#N/A</v>
      </c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5"/>
      <c r="X197" s="7"/>
      <c r="Y197" s="1"/>
      <c r="AB197" s="1"/>
    </row>
    <row r="198" spans="2:28" x14ac:dyDescent="0.25">
      <c r="B198" s="3" t="e">
        <f t="shared" ref="B198:B261" si="3">IF(ISNUMBER(D198),D198-D197, NA())</f>
        <v>#N/A</v>
      </c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5"/>
      <c r="X198" s="7"/>
      <c r="Y198" s="1"/>
      <c r="AB198" s="1"/>
    </row>
    <row r="199" spans="2:28" x14ac:dyDescent="0.25">
      <c r="B199" s="3" t="e">
        <f t="shared" si="3"/>
        <v>#N/A</v>
      </c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5"/>
      <c r="X199" s="7"/>
      <c r="Y199" s="1"/>
      <c r="AB199" s="1"/>
    </row>
    <row r="200" spans="2:28" x14ac:dyDescent="0.25">
      <c r="B200" s="3" t="e">
        <f t="shared" si="3"/>
        <v>#N/A</v>
      </c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5"/>
      <c r="X200" s="7"/>
      <c r="Y200" s="1"/>
      <c r="AB200" s="1"/>
    </row>
    <row r="201" spans="2:28" x14ac:dyDescent="0.25">
      <c r="B201" s="3" t="e">
        <f t="shared" si="3"/>
        <v>#N/A</v>
      </c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5"/>
      <c r="X201" s="7"/>
      <c r="Y201" s="1"/>
      <c r="AB201" s="1"/>
    </row>
    <row r="202" spans="2:28" x14ac:dyDescent="0.25">
      <c r="B202" s="3" t="e">
        <f t="shared" si="3"/>
        <v>#N/A</v>
      </c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5"/>
      <c r="X202" s="7"/>
      <c r="Y202" s="1"/>
      <c r="AB202" s="1"/>
    </row>
    <row r="203" spans="2:28" x14ac:dyDescent="0.25">
      <c r="B203" s="3" t="e">
        <f t="shared" si="3"/>
        <v>#N/A</v>
      </c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5"/>
      <c r="X203" s="7"/>
      <c r="Y203" s="1"/>
      <c r="AB203" s="1"/>
    </row>
    <row r="204" spans="2:28" x14ac:dyDescent="0.25">
      <c r="B204" s="3" t="e">
        <f t="shared" si="3"/>
        <v>#N/A</v>
      </c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5"/>
      <c r="X204" s="7"/>
      <c r="Y204" s="1"/>
      <c r="AB204" s="1"/>
    </row>
    <row r="205" spans="2:28" x14ac:dyDescent="0.25">
      <c r="B205" s="3" t="e">
        <f t="shared" si="3"/>
        <v>#N/A</v>
      </c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5"/>
      <c r="X205" s="7"/>
      <c r="Y205" s="1"/>
      <c r="AB205" s="1"/>
    </row>
    <row r="206" spans="2:28" x14ac:dyDescent="0.25">
      <c r="B206" s="3" t="e">
        <f t="shared" si="3"/>
        <v>#N/A</v>
      </c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5"/>
      <c r="X206" s="7"/>
      <c r="Y206" s="1"/>
      <c r="AB206" s="1"/>
    </row>
    <row r="207" spans="2:28" x14ac:dyDescent="0.25">
      <c r="B207" s="3" t="e">
        <f t="shared" si="3"/>
        <v>#N/A</v>
      </c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5"/>
      <c r="X207" s="7"/>
      <c r="Y207" s="1"/>
      <c r="AB207" s="1"/>
    </row>
    <row r="208" spans="2:28" x14ac:dyDescent="0.25">
      <c r="B208" s="3" t="e">
        <f t="shared" si="3"/>
        <v>#N/A</v>
      </c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5"/>
      <c r="X208" s="7"/>
      <c r="Y208" s="1"/>
      <c r="AB208" s="1"/>
    </row>
    <row r="209" spans="2:28" x14ac:dyDescent="0.25">
      <c r="B209" s="3" t="e">
        <f t="shared" si="3"/>
        <v>#N/A</v>
      </c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5"/>
      <c r="X209" s="7"/>
      <c r="Y209" s="1"/>
      <c r="AB209" s="1"/>
    </row>
    <row r="210" spans="2:28" x14ac:dyDescent="0.25">
      <c r="B210" s="3" t="e">
        <f t="shared" si="3"/>
        <v>#N/A</v>
      </c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5"/>
      <c r="X210" s="7"/>
      <c r="Y210" s="1"/>
      <c r="AB210" s="1"/>
    </row>
    <row r="211" spans="2:28" x14ac:dyDescent="0.25">
      <c r="B211" s="3" t="e">
        <f t="shared" si="3"/>
        <v>#N/A</v>
      </c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5"/>
      <c r="X211" s="7"/>
      <c r="Y211" s="1"/>
      <c r="AB211" s="1"/>
    </row>
    <row r="212" spans="2:28" x14ac:dyDescent="0.25">
      <c r="B212" s="3" t="e">
        <f t="shared" si="3"/>
        <v>#N/A</v>
      </c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5"/>
      <c r="X212" s="7"/>
      <c r="Y212" s="1"/>
      <c r="AB212" s="1"/>
    </row>
    <row r="213" spans="2:28" x14ac:dyDescent="0.25">
      <c r="B213" s="3" t="e">
        <f t="shared" si="3"/>
        <v>#N/A</v>
      </c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5"/>
      <c r="X213" s="7"/>
      <c r="Y213" s="1"/>
      <c r="AB213" s="1"/>
    </row>
    <row r="214" spans="2:28" x14ac:dyDescent="0.25">
      <c r="B214" s="3" t="e">
        <f t="shared" si="3"/>
        <v>#N/A</v>
      </c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5"/>
      <c r="X214" s="7"/>
      <c r="Y214" s="1"/>
      <c r="AB214" s="1"/>
    </row>
    <row r="215" spans="2:28" x14ac:dyDescent="0.25">
      <c r="B215" s="3" t="e">
        <f t="shared" si="3"/>
        <v>#N/A</v>
      </c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5"/>
      <c r="X215" s="7"/>
      <c r="Y215" s="1"/>
      <c r="AB215" s="1"/>
    </row>
    <row r="216" spans="2:28" x14ac:dyDescent="0.25">
      <c r="B216" s="3" t="e">
        <f t="shared" si="3"/>
        <v>#N/A</v>
      </c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5"/>
      <c r="X216" s="7"/>
      <c r="Y216" s="1"/>
      <c r="AB216" s="1"/>
    </row>
    <row r="217" spans="2:28" x14ac:dyDescent="0.25">
      <c r="B217" s="3" t="e">
        <f t="shared" si="3"/>
        <v>#N/A</v>
      </c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5"/>
      <c r="X217" s="7"/>
      <c r="Y217" s="1"/>
      <c r="AB217" s="1"/>
    </row>
    <row r="218" spans="2:28" x14ac:dyDescent="0.25">
      <c r="B218" s="3" t="e">
        <f t="shared" si="3"/>
        <v>#N/A</v>
      </c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5"/>
      <c r="X218" s="7"/>
      <c r="Y218" s="1"/>
      <c r="AB218" s="1"/>
    </row>
    <row r="219" spans="2:28" x14ac:dyDescent="0.25">
      <c r="B219" s="3" t="e">
        <f t="shared" si="3"/>
        <v>#N/A</v>
      </c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5"/>
      <c r="X219" s="7"/>
      <c r="Y219" s="1"/>
      <c r="AB219" s="1"/>
    </row>
    <row r="220" spans="2:28" x14ac:dyDescent="0.25">
      <c r="B220" s="3" t="e">
        <f t="shared" si="3"/>
        <v>#N/A</v>
      </c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5"/>
      <c r="X220" s="7"/>
      <c r="Y220" s="1"/>
      <c r="AB220" s="1"/>
    </row>
    <row r="221" spans="2:28" x14ac:dyDescent="0.25">
      <c r="B221" s="3" t="e">
        <f t="shared" si="3"/>
        <v>#N/A</v>
      </c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5"/>
      <c r="X221" s="7"/>
      <c r="Y221" s="1"/>
      <c r="AB221" s="1"/>
    </row>
    <row r="222" spans="2:28" x14ac:dyDescent="0.25">
      <c r="B222" s="3" t="e">
        <f t="shared" si="3"/>
        <v>#N/A</v>
      </c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5"/>
      <c r="X222" s="7"/>
      <c r="Y222" s="1"/>
      <c r="AB222" s="1"/>
    </row>
    <row r="223" spans="2:28" x14ac:dyDescent="0.25">
      <c r="B223" s="3" t="e">
        <f t="shared" si="3"/>
        <v>#N/A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5"/>
      <c r="X223" s="7"/>
      <c r="Y223" s="1"/>
      <c r="AB223" s="1"/>
    </row>
    <row r="224" spans="2:28" x14ac:dyDescent="0.25">
      <c r="B224" s="3" t="e">
        <f t="shared" si="3"/>
        <v>#N/A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5"/>
      <c r="X224" s="7"/>
      <c r="Y224" s="1"/>
      <c r="AB224" s="1"/>
    </row>
    <row r="225" spans="2:28" x14ac:dyDescent="0.25">
      <c r="B225" s="3" t="e">
        <f t="shared" si="3"/>
        <v>#N/A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5"/>
      <c r="X225" s="7"/>
      <c r="Y225" s="1"/>
      <c r="AB225" s="1"/>
    </row>
    <row r="226" spans="2:28" x14ac:dyDescent="0.25">
      <c r="B226" s="3" t="e">
        <f t="shared" si="3"/>
        <v>#N/A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5"/>
      <c r="X226" s="7"/>
      <c r="Y226" s="1"/>
      <c r="AB226" s="1"/>
    </row>
    <row r="227" spans="2:28" x14ac:dyDescent="0.25">
      <c r="B227" s="3" t="e">
        <f t="shared" si="3"/>
        <v>#N/A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5"/>
      <c r="X227" s="7"/>
      <c r="Y227" s="1"/>
      <c r="AB227" s="1"/>
    </row>
    <row r="228" spans="2:28" x14ac:dyDescent="0.25">
      <c r="B228" s="3" t="e">
        <f t="shared" si="3"/>
        <v>#N/A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5"/>
      <c r="X228" s="7"/>
      <c r="Y228" s="1"/>
      <c r="AB228" s="1"/>
    </row>
    <row r="229" spans="2:28" x14ac:dyDescent="0.25">
      <c r="B229" s="3" t="e">
        <f t="shared" si="3"/>
        <v>#N/A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5"/>
      <c r="X229" s="7"/>
      <c r="Y229" s="1"/>
      <c r="AB229" s="1"/>
    </row>
    <row r="230" spans="2:28" x14ac:dyDescent="0.25">
      <c r="B230" s="3" t="e">
        <f t="shared" si="3"/>
        <v>#N/A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5"/>
      <c r="X230" s="7"/>
      <c r="Y230" s="1"/>
      <c r="AB230" s="1"/>
    </row>
    <row r="231" spans="2:28" x14ac:dyDescent="0.25">
      <c r="B231" s="3" t="e">
        <f t="shared" si="3"/>
        <v>#N/A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5"/>
      <c r="X231" s="7"/>
      <c r="Y231" s="1"/>
      <c r="AB231" s="1"/>
    </row>
    <row r="232" spans="2:28" x14ac:dyDescent="0.25">
      <c r="B232" s="3" t="e">
        <f t="shared" si="3"/>
        <v>#N/A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5"/>
      <c r="X232" s="7"/>
      <c r="Y232" s="1"/>
      <c r="AB232" s="1"/>
    </row>
    <row r="233" spans="2:28" x14ac:dyDescent="0.25">
      <c r="B233" s="3" t="e">
        <f t="shared" si="3"/>
        <v>#N/A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5"/>
      <c r="X233" s="7"/>
      <c r="Y233" s="1"/>
      <c r="AB233" s="1"/>
    </row>
    <row r="234" spans="2:28" x14ac:dyDescent="0.25">
      <c r="B234" s="3" t="e">
        <f t="shared" si="3"/>
        <v>#N/A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5"/>
      <c r="X234" s="7"/>
      <c r="Y234" s="1"/>
      <c r="AB234" s="1"/>
    </row>
    <row r="235" spans="2:28" x14ac:dyDescent="0.25">
      <c r="B235" s="3" t="e">
        <f t="shared" si="3"/>
        <v>#N/A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5"/>
      <c r="X235" s="7"/>
      <c r="Y235" s="1"/>
      <c r="AB235" s="1"/>
    </row>
    <row r="236" spans="2:28" x14ac:dyDescent="0.25">
      <c r="B236" s="3" t="e">
        <f t="shared" si="3"/>
        <v>#N/A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5"/>
      <c r="X236" s="7"/>
      <c r="Y236" s="1"/>
      <c r="AB236" s="1"/>
    </row>
    <row r="237" spans="2:28" x14ac:dyDescent="0.25">
      <c r="B237" s="3" t="e">
        <f t="shared" si="3"/>
        <v>#N/A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5"/>
      <c r="X237" s="7"/>
      <c r="Y237" s="1"/>
      <c r="AB237" s="1"/>
    </row>
    <row r="238" spans="2:28" x14ac:dyDescent="0.25">
      <c r="B238" s="3" t="e">
        <f t="shared" si="3"/>
        <v>#N/A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5"/>
      <c r="X238" s="7"/>
      <c r="Y238" s="1"/>
      <c r="AB238" s="1"/>
    </row>
    <row r="239" spans="2:28" x14ac:dyDescent="0.25">
      <c r="B239" s="3" t="e">
        <f t="shared" si="3"/>
        <v>#N/A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5"/>
      <c r="X239" s="7"/>
      <c r="Y239" s="1"/>
      <c r="AB239" s="1"/>
    </row>
    <row r="240" spans="2:28" x14ac:dyDescent="0.25">
      <c r="B240" s="3" t="e">
        <f t="shared" si="3"/>
        <v>#N/A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5"/>
      <c r="X240" s="7"/>
      <c r="Y240" s="1"/>
      <c r="AB240" s="1"/>
    </row>
    <row r="241" spans="2:28" x14ac:dyDescent="0.25">
      <c r="B241" s="3" t="e">
        <f t="shared" si="3"/>
        <v>#N/A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5"/>
      <c r="X241" s="7"/>
      <c r="Y241" s="1"/>
      <c r="AB241" s="1"/>
    </row>
    <row r="242" spans="2:28" x14ac:dyDescent="0.25">
      <c r="B242" s="3" t="e">
        <f t="shared" si="3"/>
        <v>#N/A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5"/>
      <c r="X242" s="7"/>
      <c r="Y242" s="1"/>
      <c r="AB242" s="1"/>
    </row>
    <row r="243" spans="2:28" x14ac:dyDescent="0.25">
      <c r="B243" s="3" t="e">
        <f t="shared" si="3"/>
        <v>#N/A</v>
      </c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5"/>
      <c r="X243" s="7"/>
      <c r="Y243" s="1"/>
      <c r="AB243" s="1"/>
    </row>
    <row r="244" spans="2:28" x14ac:dyDescent="0.25">
      <c r="B244" s="3" t="e">
        <f t="shared" si="3"/>
        <v>#N/A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5"/>
      <c r="X244" s="7"/>
      <c r="Y244" s="1"/>
      <c r="AB244" s="1"/>
    </row>
    <row r="245" spans="2:28" x14ac:dyDescent="0.25">
      <c r="B245" s="3" t="e">
        <f t="shared" si="3"/>
        <v>#N/A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5"/>
      <c r="X245" s="7"/>
      <c r="Y245" s="1"/>
      <c r="AB245" s="1"/>
    </row>
    <row r="246" spans="2:28" x14ac:dyDescent="0.25">
      <c r="B246" s="3" t="e">
        <f t="shared" si="3"/>
        <v>#N/A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5"/>
      <c r="X246" s="7"/>
      <c r="Y246" s="1"/>
      <c r="AB246" s="1"/>
    </row>
    <row r="247" spans="2:28" x14ac:dyDescent="0.25">
      <c r="B247" s="3" t="e">
        <f t="shared" si="3"/>
        <v>#N/A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5"/>
      <c r="X247" s="7"/>
      <c r="Y247" s="1"/>
      <c r="AB247" s="1"/>
    </row>
    <row r="248" spans="2:28" x14ac:dyDescent="0.25">
      <c r="B248" s="3" t="e">
        <f t="shared" si="3"/>
        <v>#N/A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5"/>
      <c r="X248" s="7"/>
      <c r="Y248" s="1"/>
      <c r="AB248" s="1"/>
    </row>
    <row r="249" spans="2:28" x14ac:dyDescent="0.25">
      <c r="B249" s="3" t="e">
        <f t="shared" si="3"/>
        <v>#N/A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5"/>
      <c r="X249" s="7"/>
      <c r="Y249" s="1"/>
      <c r="AB249" s="1"/>
    </row>
    <row r="250" spans="2:28" x14ac:dyDescent="0.25">
      <c r="B250" s="3" t="e">
        <f t="shared" si="3"/>
        <v>#N/A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5"/>
      <c r="X250" s="7"/>
      <c r="Y250" s="1"/>
      <c r="AB250" s="1"/>
    </row>
    <row r="251" spans="2:28" x14ac:dyDescent="0.25">
      <c r="B251" s="3" t="e">
        <f t="shared" si="3"/>
        <v>#N/A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5"/>
      <c r="X251" s="7"/>
      <c r="Y251" s="1"/>
      <c r="AB251" s="1"/>
    </row>
    <row r="252" spans="2:28" x14ac:dyDescent="0.25">
      <c r="B252" s="3" t="e">
        <f t="shared" si="3"/>
        <v>#N/A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5"/>
      <c r="X252" s="7"/>
      <c r="Y252" s="1"/>
      <c r="AB252" s="1"/>
    </row>
    <row r="253" spans="2:28" x14ac:dyDescent="0.25">
      <c r="B253" s="3" t="e">
        <f t="shared" si="3"/>
        <v>#N/A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5"/>
      <c r="X253" s="7"/>
      <c r="Y253" s="1"/>
      <c r="AB253" s="1"/>
    </row>
    <row r="254" spans="2:28" x14ac:dyDescent="0.25">
      <c r="B254" s="3" t="e">
        <f t="shared" si="3"/>
        <v>#N/A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5"/>
      <c r="X254" s="7"/>
      <c r="Y254" s="1"/>
      <c r="AB254" s="1"/>
    </row>
    <row r="255" spans="2:28" x14ac:dyDescent="0.25">
      <c r="B255" s="3" t="e">
        <f t="shared" si="3"/>
        <v>#N/A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5"/>
      <c r="X255" s="7"/>
      <c r="Y255" s="1"/>
      <c r="AB255" s="1"/>
    </row>
    <row r="256" spans="2:28" x14ac:dyDescent="0.25">
      <c r="B256" s="3" t="e">
        <f t="shared" si="3"/>
        <v>#N/A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5"/>
      <c r="X256" s="7"/>
      <c r="Y256" s="1"/>
      <c r="AB256" s="1"/>
    </row>
    <row r="257" spans="2:28" x14ac:dyDescent="0.25">
      <c r="B257" s="3" t="e">
        <f t="shared" si="3"/>
        <v>#N/A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5"/>
      <c r="X257" s="7"/>
      <c r="Y257" s="1"/>
      <c r="AB257" s="1"/>
    </row>
    <row r="258" spans="2:28" x14ac:dyDescent="0.25">
      <c r="B258" s="3" t="e">
        <f t="shared" si="3"/>
        <v>#N/A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5"/>
      <c r="X258" s="7"/>
      <c r="Y258" s="1"/>
      <c r="AB258" s="1"/>
    </row>
    <row r="259" spans="2:28" x14ac:dyDescent="0.25">
      <c r="B259" s="3" t="e">
        <f t="shared" si="3"/>
        <v>#N/A</v>
      </c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5"/>
      <c r="X259" s="7"/>
      <c r="Y259" s="1"/>
      <c r="AB259" s="1"/>
    </row>
    <row r="260" spans="2:28" x14ac:dyDescent="0.25">
      <c r="B260" s="3" t="e">
        <f t="shared" si="3"/>
        <v>#N/A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5"/>
      <c r="X260" s="7"/>
      <c r="Y260" s="1"/>
      <c r="AB260" s="1"/>
    </row>
    <row r="261" spans="2:28" x14ac:dyDescent="0.25">
      <c r="B261" s="3" t="e">
        <f t="shared" si="3"/>
        <v>#N/A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5"/>
      <c r="X261" s="7"/>
      <c r="Y261" s="1"/>
      <c r="AB261" s="1"/>
    </row>
    <row r="262" spans="2:28" x14ac:dyDescent="0.25">
      <c r="B262" s="3" t="e">
        <f t="shared" ref="B262:B303" si="4">IF(ISNUMBER(D262),D262-D261, NA())</f>
        <v>#N/A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5"/>
      <c r="X262" s="7"/>
      <c r="Y262" s="1"/>
      <c r="AB262" s="1"/>
    </row>
    <row r="263" spans="2:28" x14ac:dyDescent="0.25">
      <c r="B263" s="3" t="e">
        <f t="shared" si="4"/>
        <v>#N/A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5"/>
      <c r="X263" s="7"/>
      <c r="Y263" s="1"/>
      <c r="AB263" s="1"/>
    </row>
    <row r="264" spans="2:28" x14ac:dyDescent="0.25">
      <c r="B264" s="3" t="e">
        <f t="shared" si="4"/>
        <v>#N/A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5"/>
      <c r="X264" s="7"/>
      <c r="Y264" s="1"/>
      <c r="AB264" s="1"/>
    </row>
    <row r="265" spans="2:28" x14ac:dyDescent="0.25">
      <c r="B265" s="3" t="e">
        <f t="shared" si="4"/>
        <v>#N/A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5"/>
      <c r="X265" s="7"/>
      <c r="Y265" s="1"/>
      <c r="AB265" s="1"/>
    </row>
    <row r="266" spans="2:28" x14ac:dyDescent="0.25">
      <c r="B266" s="3" t="e">
        <f t="shared" si="4"/>
        <v>#N/A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5"/>
      <c r="X266" s="7"/>
      <c r="Y266" s="1"/>
      <c r="AB266" s="1"/>
    </row>
    <row r="267" spans="2:28" x14ac:dyDescent="0.25">
      <c r="B267" s="3" t="e">
        <f t="shared" si="4"/>
        <v>#N/A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5"/>
      <c r="X267" s="7"/>
      <c r="Y267" s="1"/>
      <c r="AB267" s="1"/>
    </row>
    <row r="268" spans="2:28" x14ac:dyDescent="0.25">
      <c r="B268" s="3" t="e">
        <f t="shared" si="4"/>
        <v>#N/A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5"/>
      <c r="X268" s="7"/>
      <c r="Y268" s="1"/>
      <c r="AB268" s="1"/>
    </row>
    <row r="269" spans="2:28" x14ac:dyDescent="0.25">
      <c r="B269" s="3" t="e">
        <f t="shared" si="4"/>
        <v>#N/A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5"/>
      <c r="X269" s="7"/>
      <c r="Y269" s="1"/>
      <c r="AB269" s="1"/>
    </row>
    <row r="270" spans="2:28" x14ac:dyDescent="0.25">
      <c r="B270" s="3" t="e">
        <f t="shared" si="4"/>
        <v>#N/A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5"/>
      <c r="X270" s="7"/>
      <c r="Y270" s="1"/>
      <c r="AB270" s="1"/>
    </row>
    <row r="271" spans="2:28" x14ac:dyDescent="0.25">
      <c r="B271" s="3" t="e">
        <f t="shared" si="4"/>
        <v>#N/A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5"/>
      <c r="X271" s="7"/>
      <c r="Y271" s="1"/>
      <c r="AB271" s="1"/>
    </row>
    <row r="272" spans="2:28" x14ac:dyDescent="0.25">
      <c r="B272" s="3" t="e">
        <f t="shared" si="4"/>
        <v>#N/A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5"/>
      <c r="X272" s="7"/>
      <c r="Y272" s="1"/>
      <c r="AB272" s="1"/>
    </row>
    <row r="273" spans="2:28" x14ac:dyDescent="0.25">
      <c r="B273" s="3" t="e">
        <f t="shared" si="4"/>
        <v>#N/A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5"/>
      <c r="X273" s="7"/>
      <c r="Y273" s="1"/>
      <c r="AB273" s="1"/>
    </row>
    <row r="274" spans="2:28" x14ac:dyDescent="0.25">
      <c r="B274" s="3" t="e">
        <f t="shared" si="4"/>
        <v>#N/A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5"/>
    </row>
    <row r="275" spans="2:28" x14ac:dyDescent="0.25">
      <c r="B275" s="3" t="e">
        <f t="shared" si="4"/>
        <v>#N/A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5"/>
    </row>
    <row r="276" spans="2:28" x14ac:dyDescent="0.25">
      <c r="B276" s="3" t="e">
        <f t="shared" si="4"/>
        <v>#N/A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5"/>
    </row>
    <row r="277" spans="2:28" x14ac:dyDescent="0.25">
      <c r="B277" s="3" t="e">
        <f t="shared" si="4"/>
        <v>#N/A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5"/>
    </row>
    <row r="278" spans="2:28" x14ac:dyDescent="0.25">
      <c r="B278" s="3" t="e">
        <f t="shared" si="4"/>
        <v>#N/A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5"/>
    </row>
    <row r="279" spans="2:28" x14ac:dyDescent="0.25">
      <c r="B279" s="3" t="e">
        <f t="shared" si="4"/>
        <v>#N/A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5"/>
    </row>
    <row r="280" spans="2:28" x14ac:dyDescent="0.25">
      <c r="B280" s="3" t="e">
        <f t="shared" si="4"/>
        <v>#N/A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5"/>
    </row>
    <row r="281" spans="2:28" x14ac:dyDescent="0.25">
      <c r="B281" s="3" t="e">
        <f t="shared" si="4"/>
        <v>#N/A</v>
      </c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5"/>
    </row>
    <row r="282" spans="2:28" x14ac:dyDescent="0.25">
      <c r="B282" s="3" t="e">
        <f t="shared" si="4"/>
        <v>#N/A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5"/>
    </row>
    <row r="283" spans="2:28" x14ac:dyDescent="0.25">
      <c r="B283" s="3" t="e">
        <f t="shared" si="4"/>
        <v>#N/A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5"/>
    </row>
    <row r="284" spans="2:28" x14ac:dyDescent="0.25">
      <c r="B284" s="3" t="e">
        <f t="shared" si="4"/>
        <v>#N/A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5"/>
    </row>
    <row r="285" spans="2:28" x14ac:dyDescent="0.25">
      <c r="B285" s="3" t="e">
        <f t="shared" si="4"/>
        <v>#N/A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5"/>
    </row>
    <row r="286" spans="2:28" x14ac:dyDescent="0.25">
      <c r="B286" s="3" t="e">
        <f t="shared" si="4"/>
        <v>#N/A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5"/>
    </row>
    <row r="287" spans="2:28" x14ac:dyDescent="0.25">
      <c r="B287" s="3" t="e">
        <f t="shared" si="4"/>
        <v>#N/A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5"/>
    </row>
    <row r="288" spans="2:28" x14ac:dyDescent="0.25">
      <c r="B288" s="3" t="e">
        <f t="shared" si="4"/>
        <v>#N/A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5"/>
    </row>
    <row r="289" spans="2:19" x14ac:dyDescent="0.25">
      <c r="B289" s="3" t="e">
        <f t="shared" si="4"/>
        <v>#N/A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5"/>
    </row>
    <row r="290" spans="2:19" x14ac:dyDescent="0.25">
      <c r="B290" s="3" t="e">
        <f t="shared" si="4"/>
        <v>#N/A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5"/>
    </row>
    <row r="291" spans="2:19" x14ac:dyDescent="0.25">
      <c r="B291" s="3" t="e">
        <f t="shared" si="4"/>
        <v>#N/A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5"/>
    </row>
    <row r="292" spans="2:19" x14ac:dyDescent="0.25">
      <c r="B292" s="3" t="e">
        <f t="shared" si="4"/>
        <v>#N/A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5"/>
    </row>
    <row r="293" spans="2:19" x14ac:dyDescent="0.25">
      <c r="B293" s="3" t="e">
        <f t="shared" si="4"/>
        <v>#N/A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5"/>
    </row>
    <row r="294" spans="2:19" x14ac:dyDescent="0.25">
      <c r="B294" s="3" t="e">
        <f t="shared" si="4"/>
        <v>#N/A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5"/>
    </row>
    <row r="295" spans="2:19" x14ac:dyDescent="0.25">
      <c r="B295" s="3" t="e">
        <f t="shared" si="4"/>
        <v>#N/A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5"/>
    </row>
    <row r="296" spans="2:19" x14ac:dyDescent="0.25">
      <c r="B296" s="3" t="e">
        <f t="shared" si="4"/>
        <v>#N/A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5"/>
    </row>
    <row r="297" spans="2:19" x14ac:dyDescent="0.25">
      <c r="B297" s="3" t="e">
        <f t="shared" si="4"/>
        <v>#N/A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5"/>
    </row>
    <row r="298" spans="2:19" x14ac:dyDescent="0.25">
      <c r="B298" s="3" t="e">
        <f t="shared" si="4"/>
        <v>#N/A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5"/>
    </row>
    <row r="299" spans="2:19" x14ac:dyDescent="0.25">
      <c r="B299" s="3" t="e">
        <f t="shared" si="4"/>
        <v>#N/A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5"/>
    </row>
    <row r="300" spans="2:19" x14ac:dyDescent="0.25">
      <c r="B300" s="3" t="e">
        <f t="shared" si="4"/>
        <v>#N/A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5"/>
    </row>
    <row r="301" spans="2:19" x14ac:dyDescent="0.25">
      <c r="B301" s="3" t="e">
        <f t="shared" si="4"/>
        <v>#N/A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5"/>
    </row>
    <row r="302" spans="2:19" x14ac:dyDescent="0.25">
      <c r="B302" s="3" t="e">
        <f t="shared" si="4"/>
        <v>#N/A</v>
      </c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5"/>
    </row>
    <row r="303" spans="2:19" x14ac:dyDescent="0.25">
      <c r="B303" s="3" t="e">
        <f t="shared" si="4"/>
        <v>#N/A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5"/>
    </row>
    <row r="304" spans="2:19" x14ac:dyDescent="0.25">
      <c r="B304" s="3" t="e">
        <f t="shared" ref="B304:B325" si="5">IF(ISNUMBER(D304),D304-D303, NA())</f>
        <v>#N/A</v>
      </c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5"/>
    </row>
    <row r="305" spans="2:19" x14ac:dyDescent="0.25">
      <c r="B305" s="3" t="e">
        <f t="shared" si="5"/>
        <v>#N/A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5"/>
    </row>
    <row r="306" spans="2:19" x14ac:dyDescent="0.25">
      <c r="B306" s="3" t="e">
        <f t="shared" si="5"/>
        <v>#N/A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5"/>
    </row>
    <row r="307" spans="2:19" x14ac:dyDescent="0.25">
      <c r="B307" s="3" t="e">
        <f t="shared" si="5"/>
        <v>#N/A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5"/>
    </row>
    <row r="308" spans="2:19" x14ac:dyDescent="0.25">
      <c r="B308" s="3" t="e">
        <f t="shared" si="5"/>
        <v>#N/A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5"/>
    </row>
    <row r="309" spans="2:19" x14ac:dyDescent="0.25">
      <c r="B309" s="3" t="e">
        <f t="shared" si="5"/>
        <v>#N/A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5"/>
    </row>
    <row r="310" spans="2:19" x14ac:dyDescent="0.25">
      <c r="B310" s="3" t="e">
        <f t="shared" si="5"/>
        <v>#N/A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5"/>
    </row>
    <row r="311" spans="2:19" x14ac:dyDescent="0.25">
      <c r="B311" s="3" t="e">
        <f t="shared" si="5"/>
        <v>#N/A</v>
      </c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5"/>
    </row>
    <row r="312" spans="2:19" x14ac:dyDescent="0.25">
      <c r="B312" s="3" t="e">
        <f t="shared" si="5"/>
        <v>#N/A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5"/>
    </row>
    <row r="313" spans="2:19" x14ac:dyDescent="0.25">
      <c r="B313" s="3" t="e">
        <f t="shared" si="5"/>
        <v>#N/A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5"/>
    </row>
    <row r="314" spans="2:19" x14ac:dyDescent="0.25">
      <c r="B314" s="3" t="e">
        <f t="shared" si="5"/>
        <v>#N/A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5"/>
    </row>
    <row r="315" spans="2:19" x14ac:dyDescent="0.25">
      <c r="B315" s="3" t="e">
        <f t="shared" si="5"/>
        <v>#N/A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5"/>
    </row>
    <row r="316" spans="2:19" x14ac:dyDescent="0.25">
      <c r="B316" s="3" t="e">
        <f t="shared" si="5"/>
        <v>#N/A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5"/>
    </row>
    <row r="317" spans="2:19" x14ac:dyDescent="0.25">
      <c r="B317" s="3" t="e">
        <f t="shared" si="5"/>
        <v>#N/A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5"/>
    </row>
    <row r="318" spans="2:19" x14ac:dyDescent="0.25">
      <c r="B318" s="3" t="e">
        <f t="shared" si="5"/>
        <v>#N/A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5"/>
    </row>
    <row r="319" spans="2:19" x14ac:dyDescent="0.25">
      <c r="B319" s="3" t="e">
        <f t="shared" si="5"/>
        <v>#N/A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5"/>
    </row>
    <row r="320" spans="2:19" x14ac:dyDescent="0.25">
      <c r="B320" s="3" t="e">
        <f t="shared" si="5"/>
        <v>#N/A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5"/>
    </row>
    <row r="321" spans="2:19" x14ac:dyDescent="0.25">
      <c r="B321" s="3" t="e">
        <f t="shared" si="5"/>
        <v>#N/A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5"/>
    </row>
    <row r="322" spans="2:19" x14ac:dyDescent="0.25">
      <c r="B322" s="3" t="e">
        <f t="shared" si="5"/>
        <v>#N/A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5"/>
    </row>
    <row r="323" spans="2:19" x14ac:dyDescent="0.25">
      <c r="B323" s="3" t="e">
        <f t="shared" si="5"/>
        <v>#N/A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5"/>
    </row>
    <row r="324" spans="2:19" x14ac:dyDescent="0.25">
      <c r="B324" s="3" t="e">
        <f t="shared" si="5"/>
        <v>#N/A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5"/>
    </row>
    <row r="325" spans="2:19" x14ac:dyDescent="0.25">
      <c r="B325" s="3" t="e">
        <f t="shared" si="5"/>
        <v>#N/A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5"/>
    </row>
    <row r="326" spans="2:19" x14ac:dyDescent="0.25">
      <c r="B326" s="3" t="e">
        <f t="shared" ref="B326:B389" si="6">IF(ISNUMBER(D326),D326-D325, NA())</f>
        <v>#N/A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5"/>
    </row>
    <row r="327" spans="2:19" x14ac:dyDescent="0.25">
      <c r="B327" s="3" t="e">
        <f t="shared" si="6"/>
        <v>#N/A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5"/>
    </row>
    <row r="328" spans="2:19" x14ac:dyDescent="0.25">
      <c r="B328" s="3" t="e">
        <f t="shared" si="6"/>
        <v>#N/A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5"/>
    </row>
    <row r="329" spans="2:19" x14ac:dyDescent="0.25">
      <c r="B329" s="3" t="e">
        <f t="shared" si="6"/>
        <v>#N/A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5"/>
    </row>
    <row r="330" spans="2:19" x14ac:dyDescent="0.25">
      <c r="B330" s="3" t="e">
        <f t="shared" si="6"/>
        <v>#N/A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5"/>
    </row>
    <row r="331" spans="2:19" x14ac:dyDescent="0.25">
      <c r="B331" s="3" t="e">
        <f t="shared" si="6"/>
        <v>#N/A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5"/>
    </row>
    <row r="332" spans="2:19" x14ac:dyDescent="0.25">
      <c r="B332" s="3" t="e">
        <f t="shared" si="6"/>
        <v>#N/A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5"/>
    </row>
    <row r="333" spans="2:19" x14ac:dyDescent="0.25">
      <c r="B333" s="3" t="e">
        <f t="shared" si="6"/>
        <v>#N/A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5"/>
    </row>
    <row r="334" spans="2:19" x14ac:dyDescent="0.25">
      <c r="B334" s="3" t="e">
        <f t="shared" si="6"/>
        <v>#N/A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5"/>
    </row>
    <row r="335" spans="2:19" x14ac:dyDescent="0.25">
      <c r="B335" s="3" t="e">
        <f t="shared" si="6"/>
        <v>#N/A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5"/>
    </row>
    <row r="336" spans="2:19" x14ac:dyDescent="0.25">
      <c r="B336" s="3" t="e">
        <f t="shared" si="6"/>
        <v>#N/A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5"/>
    </row>
    <row r="337" spans="2:19" x14ac:dyDescent="0.25">
      <c r="B337" s="3" t="e">
        <f t="shared" si="6"/>
        <v>#N/A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5"/>
    </row>
    <row r="338" spans="2:19" x14ac:dyDescent="0.25">
      <c r="B338" s="3" t="e">
        <f t="shared" si="6"/>
        <v>#N/A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5"/>
    </row>
    <row r="339" spans="2:19" x14ac:dyDescent="0.25">
      <c r="B339" s="3" t="e">
        <f t="shared" si="6"/>
        <v>#N/A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5"/>
    </row>
    <row r="340" spans="2:19" x14ac:dyDescent="0.25">
      <c r="B340" s="3" t="e">
        <f t="shared" si="6"/>
        <v>#N/A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5"/>
    </row>
    <row r="341" spans="2:19" x14ac:dyDescent="0.25">
      <c r="B341" s="3" t="e">
        <f t="shared" si="6"/>
        <v>#N/A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5"/>
    </row>
    <row r="342" spans="2:19" x14ac:dyDescent="0.25">
      <c r="B342" s="3" t="e">
        <f t="shared" si="6"/>
        <v>#N/A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5"/>
    </row>
    <row r="343" spans="2:19" x14ac:dyDescent="0.25">
      <c r="B343" s="3" t="e">
        <f t="shared" si="6"/>
        <v>#N/A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5"/>
    </row>
    <row r="344" spans="2:19" x14ac:dyDescent="0.25">
      <c r="B344" s="3" t="e">
        <f t="shared" si="6"/>
        <v>#N/A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5"/>
    </row>
    <row r="345" spans="2:19" x14ac:dyDescent="0.25">
      <c r="B345" s="3" t="e">
        <f t="shared" si="6"/>
        <v>#N/A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5"/>
    </row>
    <row r="346" spans="2:19" x14ac:dyDescent="0.25">
      <c r="B346" s="3" t="e">
        <f t="shared" si="6"/>
        <v>#N/A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5"/>
    </row>
    <row r="347" spans="2:19" x14ac:dyDescent="0.25">
      <c r="B347" s="3" t="e">
        <f t="shared" si="6"/>
        <v>#N/A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5"/>
    </row>
    <row r="348" spans="2:19" x14ac:dyDescent="0.25">
      <c r="B348" s="3" t="e">
        <f t="shared" si="6"/>
        <v>#N/A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5"/>
    </row>
    <row r="349" spans="2:19" x14ac:dyDescent="0.25">
      <c r="B349" s="3" t="e">
        <f t="shared" si="6"/>
        <v>#N/A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5"/>
    </row>
    <row r="350" spans="2:19" x14ac:dyDescent="0.25">
      <c r="B350" s="3" t="e">
        <f t="shared" si="6"/>
        <v>#N/A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5"/>
    </row>
    <row r="351" spans="2:19" x14ac:dyDescent="0.25">
      <c r="B351" s="3" t="e">
        <f t="shared" si="6"/>
        <v>#N/A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5"/>
    </row>
    <row r="352" spans="2:19" x14ac:dyDescent="0.25">
      <c r="B352" s="3" t="e">
        <f t="shared" si="6"/>
        <v>#N/A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5"/>
    </row>
    <row r="353" spans="2:19" x14ac:dyDescent="0.25">
      <c r="B353" s="3" t="e">
        <f t="shared" si="6"/>
        <v>#N/A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5"/>
    </row>
    <row r="354" spans="2:19" x14ac:dyDescent="0.25">
      <c r="B354" s="3" t="e">
        <f t="shared" si="6"/>
        <v>#N/A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5"/>
    </row>
    <row r="355" spans="2:19" x14ac:dyDescent="0.25">
      <c r="B355" s="3" t="e">
        <f t="shared" si="6"/>
        <v>#N/A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5"/>
    </row>
    <row r="356" spans="2:19" x14ac:dyDescent="0.25">
      <c r="B356" s="3" t="e">
        <f t="shared" si="6"/>
        <v>#N/A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5"/>
    </row>
    <row r="357" spans="2:19" x14ac:dyDescent="0.25">
      <c r="B357" s="3" t="e">
        <f t="shared" si="6"/>
        <v>#N/A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5"/>
    </row>
    <row r="358" spans="2:19" x14ac:dyDescent="0.25">
      <c r="B358" s="3" t="e">
        <f t="shared" si="6"/>
        <v>#N/A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5"/>
    </row>
    <row r="359" spans="2:19" x14ac:dyDescent="0.25">
      <c r="B359" s="3" t="e">
        <f t="shared" si="6"/>
        <v>#N/A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5"/>
    </row>
    <row r="360" spans="2:19" x14ac:dyDescent="0.25">
      <c r="B360" s="3" t="e">
        <f t="shared" si="6"/>
        <v>#N/A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5"/>
    </row>
    <row r="361" spans="2:19" x14ac:dyDescent="0.25">
      <c r="B361" s="3" t="e">
        <f t="shared" si="6"/>
        <v>#N/A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5"/>
    </row>
    <row r="362" spans="2:19" x14ac:dyDescent="0.25">
      <c r="B362" s="3" t="e">
        <f t="shared" si="6"/>
        <v>#N/A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5"/>
    </row>
    <row r="363" spans="2:19" x14ac:dyDescent="0.25">
      <c r="B363" s="3" t="e">
        <f t="shared" si="6"/>
        <v>#N/A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5"/>
    </row>
    <row r="364" spans="2:19" x14ac:dyDescent="0.25">
      <c r="B364" s="3" t="e">
        <f t="shared" si="6"/>
        <v>#N/A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5"/>
    </row>
    <row r="365" spans="2:19" x14ac:dyDescent="0.25">
      <c r="B365" s="3" t="e">
        <f t="shared" si="6"/>
        <v>#N/A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5"/>
    </row>
    <row r="366" spans="2:19" x14ac:dyDescent="0.25">
      <c r="B366" s="3" t="e">
        <f t="shared" si="6"/>
        <v>#N/A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5"/>
    </row>
    <row r="367" spans="2:19" x14ac:dyDescent="0.25">
      <c r="B367" s="3" t="e">
        <f t="shared" si="6"/>
        <v>#N/A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5"/>
    </row>
    <row r="368" spans="2:19" x14ac:dyDescent="0.25">
      <c r="B368" s="3" t="e">
        <f t="shared" si="6"/>
        <v>#N/A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5"/>
    </row>
    <row r="369" spans="2:19" x14ac:dyDescent="0.25">
      <c r="B369" s="3" t="e">
        <f t="shared" si="6"/>
        <v>#N/A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5"/>
    </row>
    <row r="370" spans="2:19" x14ac:dyDescent="0.25">
      <c r="B370" s="3" t="e">
        <f t="shared" si="6"/>
        <v>#N/A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5"/>
    </row>
    <row r="371" spans="2:19" x14ac:dyDescent="0.25">
      <c r="B371" s="3" t="e">
        <f t="shared" si="6"/>
        <v>#N/A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5"/>
    </row>
    <row r="372" spans="2:19" x14ac:dyDescent="0.25">
      <c r="B372" s="3" t="e">
        <f t="shared" si="6"/>
        <v>#N/A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5"/>
    </row>
    <row r="373" spans="2:19" x14ac:dyDescent="0.25">
      <c r="B373" s="3" t="e">
        <f t="shared" si="6"/>
        <v>#N/A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5"/>
    </row>
    <row r="374" spans="2:19" x14ac:dyDescent="0.25">
      <c r="B374" s="3" t="e">
        <f t="shared" si="6"/>
        <v>#N/A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5"/>
    </row>
    <row r="375" spans="2:19" x14ac:dyDescent="0.25">
      <c r="B375" s="3" t="e">
        <f t="shared" si="6"/>
        <v>#N/A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5"/>
    </row>
    <row r="376" spans="2:19" x14ac:dyDescent="0.25">
      <c r="B376" s="3" t="e">
        <f t="shared" si="6"/>
        <v>#N/A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5"/>
    </row>
    <row r="377" spans="2:19" x14ac:dyDescent="0.25">
      <c r="B377" s="3" t="e">
        <f t="shared" si="6"/>
        <v>#N/A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5"/>
    </row>
    <row r="378" spans="2:19" x14ac:dyDescent="0.25">
      <c r="B378" s="3" t="e">
        <f t="shared" si="6"/>
        <v>#N/A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5"/>
    </row>
    <row r="379" spans="2:19" x14ac:dyDescent="0.25">
      <c r="B379" s="3" t="e">
        <f t="shared" si="6"/>
        <v>#N/A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5"/>
    </row>
    <row r="380" spans="2:19" x14ac:dyDescent="0.25">
      <c r="B380" s="3" t="e">
        <f t="shared" si="6"/>
        <v>#N/A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5"/>
    </row>
    <row r="381" spans="2:19" x14ac:dyDescent="0.25">
      <c r="B381" s="3" t="e">
        <f t="shared" si="6"/>
        <v>#N/A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5"/>
    </row>
    <row r="382" spans="2:19" x14ac:dyDescent="0.25">
      <c r="B382" s="3" t="e">
        <f t="shared" si="6"/>
        <v>#N/A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5"/>
    </row>
    <row r="383" spans="2:19" x14ac:dyDescent="0.25">
      <c r="B383" s="3" t="e">
        <f t="shared" si="6"/>
        <v>#N/A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5"/>
    </row>
    <row r="384" spans="2:19" x14ac:dyDescent="0.25">
      <c r="B384" s="3" t="e">
        <f t="shared" si="6"/>
        <v>#N/A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5"/>
    </row>
    <row r="385" spans="2:19" x14ac:dyDescent="0.25">
      <c r="B385" s="3" t="e">
        <f t="shared" si="6"/>
        <v>#N/A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5"/>
    </row>
    <row r="386" spans="2:19" x14ac:dyDescent="0.25">
      <c r="B386" s="3" t="e">
        <f t="shared" si="6"/>
        <v>#N/A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5"/>
    </row>
    <row r="387" spans="2:19" x14ac:dyDescent="0.25">
      <c r="B387" s="3" t="e">
        <f t="shared" si="6"/>
        <v>#N/A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5"/>
    </row>
    <row r="388" spans="2:19" x14ac:dyDescent="0.25">
      <c r="B388" s="3" t="e">
        <f t="shared" si="6"/>
        <v>#N/A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5"/>
    </row>
    <row r="389" spans="2:19" x14ac:dyDescent="0.25">
      <c r="B389" s="3" t="e">
        <f t="shared" si="6"/>
        <v>#N/A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5"/>
    </row>
    <row r="390" spans="2:19" x14ac:dyDescent="0.25">
      <c r="B390" s="3" t="e">
        <f t="shared" ref="B390:B453" si="7">IF(ISNUMBER(D390),D390-D389, NA())</f>
        <v>#N/A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5"/>
    </row>
    <row r="391" spans="2:19" x14ac:dyDescent="0.25">
      <c r="B391" s="3" t="e">
        <f t="shared" si="7"/>
        <v>#N/A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5"/>
    </row>
    <row r="392" spans="2:19" x14ac:dyDescent="0.25">
      <c r="B392" s="3" t="e">
        <f t="shared" si="7"/>
        <v>#N/A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5"/>
    </row>
    <row r="393" spans="2:19" x14ac:dyDescent="0.25">
      <c r="B393" s="3" t="e">
        <f t="shared" si="7"/>
        <v>#N/A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5"/>
    </row>
    <row r="394" spans="2:19" x14ac:dyDescent="0.25">
      <c r="B394" s="3" t="e">
        <f t="shared" si="7"/>
        <v>#N/A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5"/>
    </row>
    <row r="395" spans="2:19" x14ac:dyDescent="0.25">
      <c r="B395" s="3" t="e">
        <f t="shared" si="7"/>
        <v>#N/A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5"/>
    </row>
    <row r="396" spans="2:19" x14ac:dyDescent="0.25">
      <c r="B396" s="3" t="e">
        <f t="shared" si="7"/>
        <v>#N/A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5"/>
    </row>
    <row r="397" spans="2:19" x14ac:dyDescent="0.25">
      <c r="B397" s="3" t="e">
        <f t="shared" si="7"/>
        <v>#N/A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5"/>
    </row>
    <row r="398" spans="2:19" x14ac:dyDescent="0.25">
      <c r="B398" s="3" t="e">
        <f t="shared" si="7"/>
        <v>#N/A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5"/>
    </row>
    <row r="399" spans="2:19" x14ac:dyDescent="0.25">
      <c r="B399" s="3" t="e">
        <f t="shared" si="7"/>
        <v>#N/A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5"/>
    </row>
    <row r="400" spans="2:19" x14ac:dyDescent="0.25">
      <c r="B400" s="3" t="e">
        <f t="shared" si="7"/>
        <v>#N/A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5"/>
    </row>
    <row r="401" spans="2:19" x14ac:dyDescent="0.25">
      <c r="B401" s="3" t="e">
        <f t="shared" si="7"/>
        <v>#N/A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5"/>
    </row>
    <row r="402" spans="2:19" x14ac:dyDescent="0.25">
      <c r="B402" s="3" t="e">
        <f t="shared" si="7"/>
        <v>#N/A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5"/>
    </row>
    <row r="403" spans="2:19" x14ac:dyDescent="0.25">
      <c r="B403" s="3" t="e">
        <f t="shared" si="7"/>
        <v>#N/A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5"/>
    </row>
    <row r="404" spans="2:19" x14ac:dyDescent="0.25">
      <c r="B404" s="3" t="e">
        <f t="shared" si="7"/>
        <v>#N/A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5"/>
    </row>
    <row r="405" spans="2:19" x14ac:dyDescent="0.25">
      <c r="B405" s="3" t="e">
        <f t="shared" si="7"/>
        <v>#N/A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5"/>
    </row>
    <row r="406" spans="2:19" x14ac:dyDescent="0.25">
      <c r="B406" s="3" t="e">
        <f t="shared" si="7"/>
        <v>#N/A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5"/>
    </row>
    <row r="407" spans="2:19" x14ac:dyDescent="0.25">
      <c r="B407" s="3" t="e">
        <f t="shared" si="7"/>
        <v>#N/A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5"/>
    </row>
    <row r="408" spans="2:19" x14ac:dyDescent="0.25">
      <c r="B408" s="3" t="e">
        <f t="shared" si="7"/>
        <v>#N/A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5"/>
    </row>
    <row r="409" spans="2:19" x14ac:dyDescent="0.25">
      <c r="B409" s="3" t="e">
        <f t="shared" si="7"/>
        <v>#N/A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5"/>
    </row>
    <row r="410" spans="2:19" x14ac:dyDescent="0.25">
      <c r="B410" s="3" t="e">
        <f t="shared" si="7"/>
        <v>#N/A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5"/>
    </row>
    <row r="411" spans="2:19" x14ac:dyDescent="0.25">
      <c r="B411" s="3" t="e">
        <f t="shared" si="7"/>
        <v>#N/A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5"/>
    </row>
    <row r="412" spans="2:19" x14ac:dyDescent="0.25">
      <c r="B412" s="3" t="e">
        <f t="shared" si="7"/>
        <v>#N/A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5"/>
    </row>
    <row r="413" spans="2:19" x14ac:dyDescent="0.25">
      <c r="B413" s="3" t="e">
        <f t="shared" si="7"/>
        <v>#N/A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5"/>
    </row>
    <row r="414" spans="2:19" x14ac:dyDescent="0.25">
      <c r="B414" s="3" t="e">
        <f t="shared" si="7"/>
        <v>#N/A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5"/>
    </row>
    <row r="415" spans="2:19" x14ac:dyDescent="0.25">
      <c r="B415" s="3" t="e">
        <f t="shared" si="7"/>
        <v>#N/A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5"/>
    </row>
    <row r="416" spans="2:19" x14ac:dyDescent="0.25">
      <c r="B416" s="3" t="e">
        <f t="shared" si="7"/>
        <v>#N/A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5"/>
    </row>
    <row r="417" spans="2:19" x14ac:dyDescent="0.25">
      <c r="B417" s="3" t="e">
        <f t="shared" si="7"/>
        <v>#N/A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5"/>
    </row>
    <row r="418" spans="2:19" x14ac:dyDescent="0.25">
      <c r="B418" s="3" t="e">
        <f t="shared" si="7"/>
        <v>#N/A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5"/>
    </row>
    <row r="419" spans="2:19" x14ac:dyDescent="0.25">
      <c r="B419" s="3" t="e">
        <f t="shared" si="7"/>
        <v>#N/A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5"/>
    </row>
    <row r="420" spans="2:19" x14ac:dyDescent="0.25">
      <c r="B420" s="3" t="e">
        <f t="shared" si="7"/>
        <v>#N/A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5"/>
    </row>
    <row r="421" spans="2:19" x14ac:dyDescent="0.25">
      <c r="B421" s="3" t="e">
        <f t="shared" si="7"/>
        <v>#N/A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5"/>
    </row>
    <row r="422" spans="2:19" x14ac:dyDescent="0.25">
      <c r="B422" s="3" t="e">
        <f t="shared" si="7"/>
        <v>#N/A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5"/>
    </row>
    <row r="423" spans="2:19" x14ac:dyDescent="0.25">
      <c r="B423" s="3" t="e">
        <f t="shared" si="7"/>
        <v>#N/A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5"/>
    </row>
    <row r="424" spans="2:19" x14ac:dyDescent="0.25">
      <c r="B424" s="3" t="e">
        <f t="shared" si="7"/>
        <v>#N/A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5"/>
    </row>
    <row r="425" spans="2:19" x14ac:dyDescent="0.25">
      <c r="B425" s="3" t="e">
        <f t="shared" si="7"/>
        <v>#N/A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5"/>
    </row>
    <row r="426" spans="2:19" x14ac:dyDescent="0.25">
      <c r="B426" s="3" t="e">
        <f t="shared" si="7"/>
        <v>#N/A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5"/>
    </row>
    <row r="427" spans="2:19" x14ac:dyDescent="0.25">
      <c r="B427" s="3" t="e">
        <f t="shared" si="7"/>
        <v>#N/A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5"/>
    </row>
    <row r="428" spans="2:19" x14ac:dyDescent="0.25">
      <c r="B428" s="3" t="e">
        <f t="shared" si="7"/>
        <v>#N/A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5"/>
    </row>
    <row r="429" spans="2:19" x14ac:dyDescent="0.25">
      <c r="B429" s="3" t="e">
        <f t="shared" si="7"/>
        <v>#N/A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5"/>
    </row>
    <row r="430" spans="2:19" x14ac:dyDescent="0.25">
      <c r="B430" s="3" t="e">
        <f t="shared" si="7"/>
        <v>#N/A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5"/>
    </row>
    <row r="431" spans="2:19" x14ac:dyDescent="0.25">
      <c r="B431" s="3" t="e">
        <f t="shared" si="7"/>
        <v>#N/A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5"/>
    </row>
    <row r="432" spans="2:19" x14ac:dyDescent="0.25">
      <c r="B432" s="3" t="e">
        <f t="shared" si="7"/>
        <v>#N/A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5"/>
    </row>
    <row r="433" spans="2:19" x14ac:dyDescent="0.25">
      <c r="B433" s="3" t="e">
        <f t="shared" si="7"/>
        <v>#N/A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5"/>
    </row>
    <row r="434" spans="2:19" x14ac:dyDescent="0.25">
      <c r="B434" s="3" t="e">
        <f t="shared" si="7"/>
        <v>#N/A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5"/>
    </row>
    <row r="435" spans="2:19" x14ac:dyDescent="0.25">
      <c r="B435" s="3" t="e">
        <f t="shared" si="7"/>
        <v>#N/A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5"/>
    </row>
    <row r="436" spans="2:19" x14ac:dyDescent="0.25">
      <c r="B436" s="3" t="e">
        <f t="shared" si="7"/>
        <v>#N/A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5"/>
    </row>
    <row r="437" spans="2:19" x14ac:dyDescent="0.25">
      <c r="B437" s="3" t="e">
        <f t="shared" si="7"/>
        <v>#N/A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5"/>
    </row>
    <row r="438" spans="2:19" x14ac:dyDescent="0.25">
      <c r="B438" s="3" t="e">
        <f t="shared" si="7"/>
        <v>#N/A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5"/>
    </row>
    <row r="439" spans="2:19" x14ac:dyDescent="0.25">
      <c r="B439" s="3" t="e">
        <f t="shared" si="7"/>
        <v>#N/A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5"/>
    </row>
    <row r="440" spans="2:19" x14ac:dyDescent="0.25">
      <c r="B440" s="3" t="e">
        <f t="shared" si="7"/>
        <v>#N/A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5"/>
    </row>
    <row r="441" spans="2:19" x14ac:dyDescent="0.25">
      <c r="B441" s="3" t="e">
        <f t="shared" si="7"/>
        <v>#N/A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5"/>
    </row>
    <row r="442" spans="2:19" x14ac:dyDescent="0.25">
      <c r="B442" s="3" t="e">
        <f t="shared" si="7"/>
        <v>#N/A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5"/>
    </row>
    <row r="443" spans="2:19" x14ac:dyDescent="0.25">
      <c r="B443" s="3" t="e">
        <f t="shared" si="7"/>
        <v>#N/A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5"/>
    </row>
    <row r="444" spans="2:19" x14ac:dyDescent="0.25">
      <c r="B444" s="3" t="e">
        <f t="shared" si="7"/>
        <v>#N/A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5"/>
    </row>
    <row r="445" spans="2:19" x14ac:dyDescent="0.25">
      <c r="B445" s="3" t="e">
        <f t="shared" si="7"/>
        <v>#N/A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5"/>
    </row>
    <row r="446" spans="2:19" x14ac:dyDescent="0.25">
      <c r="B446" s="3" t="e">
        <f t="shared" si="7"/>
        <v>#N/A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5"/>
    </row>
    <row r="447" spans="2:19" x14ac:dyDescent="0.25">
      <c r="B447" s="3" t="e">
        <f t="shared" si="7"/>
        <v>#N/A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5"/>
    </row>
    <row r="448" spans="2:19" x14ac:dyDescent="0.25">
      <c r="B448" s="3" t="e">
        <f t="shared" si="7"/>
        <v>#N/A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5"/>
    </row>
    <row r="449" spans="2:19" x14ac:dyDescent="0.25">
      <c r="B449" s="3" t="e">
        <f t="shared" si="7"/>
        <v>#N/A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5"/>
    </row>
    <row r="450" spans="2:19" x14ac:dyDescent="0.25">
      <c r="B450" s="3" t="e">
        <f t="shared" si="7"/>
        <v>#N/A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5"/>
    </row>
    <row r="451" spans="2:19" x14ac:dyDescent="0.25">
      <c r="B451" s="3" t="e">
        <f t="shared" si="7"/>
        <v>#N/A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5"/>
    </row>
    <row r="452" spans="2:19" x14ac:dyDescent="0.25">
      <c r="B452" s="3" t="e">
        <f t="shared" si="7"/>
        <v>#N/A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5"/>
    </row>
    <row r="453" spans="2:19" x14ac:dyDescent="0.25">
      <c r="B453" s="3" t="e">
        <f t="shared" si="7"/>
        <v>#N/A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5"/>
    </row>
    <row r="454" spans="2:19" x14ac:dyDescent="0.25">
      <c r="B454" s="3" t="e">
        <f t="shared" ref="B454:B517" si="8">IF(ISNUMBER(D454),D454-D453, NA())</f>
        <v>#N/A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5"/>
    </row>
    <row r="455" spans="2:19" x14ac:dyDescent="0.25">
      <c r="B455" s="3" t="e">
        <f t="shared" si="8"/>
        <v>#N/A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5"/>
    </row>
    <row r="456" spans="2:19" x14ac:dyDescent="0.25">
      <c r="B456" s="3" t="e">
        <f t="shared" si="8"/>
        <v>#N/A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5"/>
    </row>
    <row r="457" spans="2:19" x14ac:dyDescent="0.25">
      <c r="B457" s="3" t="e">
        <f t="shared" si="8"/>
        <v>#N/A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5"/>
    </row>
    <row r="458" spans="2:19" x14ac:dyDescent="0.25">
      <c r="B458" s="3" t="e">
        <f t="shared" si="8"/>
        <v>#N/A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5"/>
    </row>
    <row r="459" spans="2:19" x14ac:dyDescent="0.25">
      <c r="B459" s="3" t="e">
        <f t="shared" si="8"/>
        <v>#N/A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5"/>
    </row>
    <row r="460" spans="2:19" x14ac:dyDescent="0.25">
      <c r="B460" s="3" t="e">
        <f t="shared" si="8"/>
        <v>#N/A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5"/>
    </row>
    <row r="461" spans="2:19" x14ac:dyDescent="0.25">
      <c r="B461" s="3" t="e">
        <f t="shared" si="8"/>
        <v>#N/A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5"/>
    </row>
    <row r="462" spans="2:19" x14ac:dyDescent="0.25">
      <c r="B462" s="3" t="e">
        <f t="shared" si="8"/>
        <v>#N/A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5"/>
    </row>
    <row r="463" spans="2:19" x14ac:dyDescent="0.25">
      <c r="B463" s="3" t="e">
        <f t="shared" si="8"/>
        <v>#N/A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5"/>
    </row>
    <row r="464" spans="2:19" x14ac:dyDescent="0.25">
      <c r="B464" s="3" t="e">
        <f t="shared" si="8"/>
        <v>#N/A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5"/>
    </row>
    <row r="465" spans="2:19" x14ac:dyDescent="0.25">
      <c r="B465" s="3" t="e">
        <f t="shared" si="8"/>
        <v>#N/A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5"/>
    </row>
    <row r="466" spans="2:19" x14ac:dyDescent="0.25">
      <c r="B466" s="3" t="e">
        <f t="shared" si="8"/>
        <v>#N/A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5"/>
    </row>
    <row r="467" spans="2:19" x14ac:dyDescent="0.25">
      <c r="B467" s="3" t="e">
        <f t="shared" si="8"/>
        <v>#N/A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5"/>
    </row>
    <row r="468" spans="2:19" x14ac:dyDescent="0.25">
      <c r="B468" s="3" t="e">
        <f t="shared" si="8"/>
        <v>#N/A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5"/>
    </row>
    <row r="469" spans="2:19" x14ac:dyDescent="0.25">
      <c r="B469" s="3" t="e">
        <f t="shared" si="8"/>
        <v>#N/A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5"/>
    </row>
    <row r="470" spans="2:19" x14ac:dyDescent="0.25">
      <c r="B470" s="3" t="e">
        <f t="shared" si="8"/>
        <v>#N/A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5"/>
    </row>
    <row r="471" spans="2:19" x14ac:dyDescent="0.25">
      <c r="B471" s="3" t="e">
        <f t="shared" si="8"/>
        <v>#N/A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5"/>
    </row>
    <row r="472" spans="2:19" x14ac:dyDescent="0.25">
      <c r="B472" s="3" t="e">
        <f t="shared" si="8"/>
        <v>#N/A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5"/>
    </row>
    <row r="473" spans="2:19" x14ac:dyDescent="0.25">
      <c r="B473" s="3" t="e">
        <f t="shared" si="8"/>
        <v>#N/A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5"/>
    </row>
    <row r="474" spans="2:19" x14ac:dyDescent="0.25">
      <c r="B474" s="3" t="e">
        <f t="shared" si="8"/>
        <v>#N/A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5"/>
    </row>
    <row r="475" spans="2:19" x14ac:dyDescent="0.25">
      <c r="B475" s="3" t="e">
        <f t="shared" si="8"/>
        <v>#N/A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5"/>
    </row>
    <row r="476" spans="2:19" x14ac:dyDescent="0.25">
      <c r="B476" s="3" t="e">
        <f t="shared" si="8"/>
        <v>#N/A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5"/>
    </row>
    <row r="477" spans="2:19" x14ac:dyDescent="0.25">
      <c r="B477" s="3" t="e">
        <f t="shared" si="8"/>
        <v>#N/A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5"/>
    </row>
    <row r="478" spans="2:19" x14ac:dyDescent="0.25">
      <c r="B478" s="3" t="e">
        <f t="shared" si="8"/>
        <v>#N/A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5"/>
    </row>
    <row r="479" spans="2:19" x14ac:dyDescent="0.25">
      <c r="B479" s="3" t="e">
        <f t="shared" si="8"/>
        <v>#N/A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5"/>
    </row>
    <row r="480" spans="2:19" x14ac:dyDescent="0.25">
      <c r="B480" s="3" t="e">
        <f t="shared" si="8"/>
        <v>#N/A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5"/>
    </row>
    <row r="481" spans="2:19" x14ac:dyDescent="0.25">
      <c r="B481" s="3" t="e">
        <f t="shared" si="8"/>
        <v>#N/A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5"/>
    </row>
    <row r="482" spans="2:19" x14ac:dyDescent="0.25">
      <c r="B482" s="3" t="e">
        <f t="shared" si="8"/>
        <v>#N/A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5"/>
    </row>
    <row r="483" spans="2:19" x14ac:dyDescent="0.25">
      <c r="B483" s="3" t="e">
        <f t="shared" si="8"/>
        <v>#N/A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5"/>
    </row>
    <row r="484" spans="2:19" x14ac:dyDescent="0.25">
      <c r="B484" s="3" t="e">
        <f t="shared" si="8"/>
        <v>#N/A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5"/>
    </row>
    <row r="485" spans="2:19" x14ac:dyDescent="0.25">
      <c r="B485" s="3" t="e">
        <f t="shared" si="8"/>
        <v>#N/A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5"/>
    </row>
    <row r="486" spans="2:19" x14ac:dyDescent="0.25">
      <c r="B486" s="3" t="e">
        <f t="shared" si="8"/>
        <v>#N/A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5"/>
    </row>
    <row r="487" spans="2:19" x14ac:dyDescent="0.25">
      <c r="B487" s="3" t="e">
        <f t="shared" si="8"/>
        <v>#N/A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5"/>
    </row>
    <row r="488" spans="2:19" x14ac:dyDescent="0.25">
      <c r="B488" s="3" t="e">
        <f t="shared" si="8"/>
        <v>#N/A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5"/>
    </row>
    <row r="489" spans="2:19" x14ac:dyDescent="0.25">
      <c r="B489" s="3" t="e">
        <f t="shared" si="8"/>
        <v>#N/A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5"/>
    </row>
    <row r="490" spans="2:19" x14ac:dyDescent="0.25">
      <c r="B490" s="3" t="e">
        <f t="shared" si="8"/>
        <v>#N/A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5"/>
    </row>
    <row r="491" spans="2:19" x14ac:dyDescent="0.25">
      <c r="B491" s="3" t="e">
        <f t="shared" si="8"/>
        <v>#N/A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5"/>
    </row>
    <row r="492" spans="2:19" x14ac:dyDescent="0.25">
      <c r="B492" s="3" t="e">
        <f t="shared" si="8"/>
        <v>#N/A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5"/>
    </row>
    <row r="493" spans="2:19" x14ac:dyDescent="0.25">
      <c r="B493" s="3" t="e">
        <f t="shared" si="8"/>
        <v>#N/A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5"/>
    </row>
    <row r="494" spans="2:19" x14ac:dyDescent="0.25">
      <c r="B494" s="3" t="e">
        <f t="shared" si="8"/>
        <v>#N/A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5"/>
    </row>
    <row r="495" spans="2:19" x14ac:dyDescent="0.25">
      <c r="B495" s="3" t="e">
        <f t="shared" si="8"/>
        <v>#N/A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5"/>
    </row>
    <row r="496" spans="2:19" x14ac:dyDescent="0.25">
      <c r="B496" s="3" t="e">
        <f t="shared" si="8"/>
        <v>#N/A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5"/>
    </row>
    <row r="497" spans="2:19" x14ac:dyDescent="0.25">
      <c r="B497" s="3" t="e">
        <f t="shared" si="8"/>
        <v>#N/A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5"/>
    </row>
    <row r="498" spans="2:19" x14ac:dyDescent="0.25">
      <c r="B498" s="3" t="e">
        <f t="shared" si="8"/>
        <v>#N/A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5"/>
    </row>
    <row r="499" spans="2:19" x14ac:dyDescent="0.25">
      <c r="B499" s="3" t="e">
        <f t="shared" si="8"/>
        <v>#N/A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5"/>
    </row>
    <row r="500" spans="2:19" x14ac:dyDescent="0.25">
      <c r="B500" s="3" t="e">
        <f t="shared" si="8"/>
        <v>#N/A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5"/>
    </row>
    <row r="501" spans="2:19" x14ac:dyDescent="0.25">
      <c r="B501" s="3" t="e">
        <f t="shared" si="8"/>
        <v>#N/A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5"/>
    </row>
    <row r="502" spans="2:19" x14ac:dyDescent="0.25">
      <c r="B502" s="3" t="e">
        <f t="shared" si="8"/>
        <v>#N/A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5"/>
    </row>
    <row r="503" spans="2:19" x14ac:dyDescent="0.25">
      <c r="B503" s="3" t="e">
        <f t="shared" si="8"/>
        <v>#N/A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5"/>
    </row>
    <row r="504" spans="2:19" x14ac:dyDescent="0.25">
      <c r="B504" s="3" t="e">
        <f t="shared" si="8"/>
        <v>#N/A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5"/>
    </row>
    <row r="505" spans="2:19" x14ac:dyDescent="0.25">
      <c r="B505" s="3" t="e">
        <f t="shared" si="8"/>
        <v>#N/A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5"/>
    </row>
    <row r="506" spans="2:19" x14ac:dyDescent="0.25">
      <c r="B506" s="3" t="e">
        <f t="shared" si="8"/>
        <v>#N/A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5"/>
    </row>
    <row r="507" spans="2:19" x14ac:dyDescent="0.25">
      <c r="B507" s="3" t="e">
        <f t="shared" si="8"/>
        <v>#N/A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5"/>
    </row>
    <row r="508" spans="2:19" x14ac:dyDescent="0.25">
      <c r="B508" s="3" t="e">
        <f t="shared" si="8"/>
        <v>#N/A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5"/>
    </row>
    <row r="509" spans="2:19" x14ac:dyDescent="0.25">
      <c r="B509" s="3" t="e">
        <f t="shared" si="8"/>
        <v>#N/A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5"/>
    </row>
    <row r="510" spans="2:19" x14ac:dyDescent="0.25">
      <c r="B510" s="3" t="e">
        <f t="shared" si="8"/>
        <v>#N/A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5"/>
    </row>
    <row r="511" spans="2:19" x14ac:dyDescent="0.25">
      <c r="B511" s="3" t="e">
        <f t="shared" si="8"/>
        <v>#N/A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5"/>
    </row>
    <row r="512" spans="2:19" x14ac:dyDescent="0.25">
      <c r="B512" s="3" t="e">
        <f t="shared" si="8"/>
        <v>#N/A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5"/>
    </row>
    <row r="513" spans="2:19" x14ac:dyDescent="0.25">
      <c r="B513" s="3" t="e">
        <f t="shared" si="8"/>
        <v>#N/A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5"/>
    </row>
    <row r="514" spans="2:19" x14ac:dyDescent="0.25">
      <c r="B514" s="3" t="e">
        <f t="shared" si="8"/>
        <v>#N/A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5"/>
    </row>
    <row r="515" spans="2:19" x14ac:dyDescent="0.25">
      <c r="B515" s="3" t="e">
        <f t="shared" si="8"/>
        <v>#N/A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5"/>
    </row>
    <row r="516" spans="2:19" x14ac:dyDescent="0.25">
      <c r="B516" s="3" t="e">
        <f t="shared" si="8"/>
        <v>#N/A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5"/>
    </row>
    <row r="517" spans="2:19" x14ac:dyDescent="0.25">
      <c r="B517" s="3" t="e">
        <f t="shared" si="8"/>
        <v>#N/A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5"/>
    </row>
    <row r="518" spans="2:19" x14ac:dyDescent="0.25">
      <c r="B518" s="3" t="e">
        <f t="shared" ref="B518:B581" si="9">IF(ISNUMBER(D518),D518-D517, NA())</f>
        <v>#N/A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5"/>
    </row>
    <row r="519" spans="2:19" x14ac:dyDescent="0.25">
      <c r="B519" s="3" t="e">
        <f t="shared" si="9"/>
        <v>#N/A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5"/>
    </row>
    <row r="520" spans="2:19" x14ac:dyDescent="0.25">
      <c r="B520" s="3" t="e">
        <f t="shared" si="9"/>
        <v>#N/A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5"/>
    </row>
    <row r="521" spans="2:19" x14ac:dyDescent="0.25">
      <c r="B521" s="3" t="e">
        <f t="shared" si="9"/>
        <v>#N/A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5"/>
    </row>
    <row r="522" spans="2:19" x14ac:dyDescent="0.25">
      <c r="B522" s="3" t="e">
        <f t="shared" si="9"/>
        <v>#N/A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5"/>
    </row>
    <row r="523" spans="2:19" x14ac:dyDescent="0.25">
      <c r="B523" s="3" t="e">
        <f t="shared" si="9"/>
        <v>#N/A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5"/>
    </row>
    <row r="524" spans="2:19" x14ac:dyDescent="0.25">
      <c r="B524" s="3" t="e">
        <f t="shared" si="9"/>
        <v>#N/A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5"/>
    </row>
    <row r="525" spans="2:19" x14ac:dyDescent="0.25">
      <c r="B525" s="3" t="e">
        <f t="shared" si="9"/>
        <v>#N/A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5"/>
    </row>
    <row r="526" spans="2:19" x14ac:dyDescent="0.25">
      <c r="B526" s="3" t="e">
        <f t="shared" si="9"/>
        <v>#N/A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5"/>
    </row>
    <row r="527" spans="2:19" x14ac:dyDescent="0.25">
      <c r="B527" s="3" t="e">
        <f t="shared" si="9"/>
        <v>#N/A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5"/>
    </row>
    <row r="528" spans="2:19" x14ac:dyDescent="0.25">
      <c r="B528" s="3" t="e">
        <f t="shared" si="9"/>
        <v>#N/A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5"/>
    </row>
    <row r="529" spans="2:19" x14ac:dyDescent="0.25">
      <c r="B529" s="3" t="e">
        <f t="shared" si="9"/>
        <v>#N/A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5"/>
    </row>
    <row r="530" spans="2:19" x14ac:dyDescent="0.25">
      <c r="B530" s="3" t="e">
        <f t="shared" si="9"/>
        <v>#N/A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5"/>
    </row>
    <row r="531" spans="2:19" x14ac:dyDescent="0.25">
      <c r="B531" s="3" t="e">
        <f t="shared" si="9"/>
        <v>#N/A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5"/>
    </row>
    <row r="532" spans="2:19" x14ac:dyDescent="0.25">
      <c r="B532" s="3" t="e">
        <f t="shared" si="9"/>
        <v>#N/A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5"/>
    </row>
    <row r="533" spans="2:19" x14ac:dyDescent="0.25">
      <c r="B533" s="3" t="e">
        <f t="shared" si="9"/>
        <v>#N/A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5"/>
    </row>
    <row r="534" spans="2:19" x14ac:dyDescent="0.25">
      <c r="B534" s="3" t="e">
        <f t="shared" si="9"/>
        <v>#N/A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5"/>
    </row>
    <row r="535" spans="2:19" x14ac:dyDescent="0.25">
      <c r="B535" s="3" t="e">
        <f t="shared" si="9"/>
        <v>#N/A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5"/>
    </row>
    <row r="536" spans="2:19" x14ac:dyDescent="0.25">
      <c r="B536" s="3" t="e">
        <f t="shared" si="9"/>
        <v>#N/A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5"/>
    </row>
    <row r="537" spans="2:19" x14ac:dyDescent="0.25">
      <c r="B537" s="3" t="e">
        <f t="shared" si="9"/>
        <v>#N/A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5"/>
    </row>
    <row r="538" spans="2:19" x14ac:dyDescent="0.25">
      <c r="B538" s="3" t="e">
        <f t="shared" si="9"/>
        <v>#N/A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5"/>
    </row>
    <row r="539" spans="2:19" x14ac:dyDescent="0.25">
      <c r="B539" s="3" t="e">
        <f t="shared" si="9"/>
        <v>#N/A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5"/>
    </row>
    <row r="540" spans="2:19" x14ac:dyDescent="0.25">
      <c r="B540" s="3" t="e">
        <f t="shared" si="9"/>
        <v>#N/A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5"/>
    </row>
    <row r="541" spans="2:19" x14ac:dyDescent="0.25">
      <c r="B541" s="3" t="e">
        <f t="shared" si="9"/>
        <v>#N/A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5"/>
    </row>
    <row r="542" spans="2:19" x14ac:dyDescent="0.25">
      <c r="B542" s="3" t="e">
        <f t="shared" si="9"/>
        <v>#N/A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5"/>
    </row>
    <row r="543" spans="2:19" x14ac:dyDescent="0.25">
      <c r="B543" s="3" t="e">
        <f t="shared" si="9"/>
        <v>#N/A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5"/>
    </row>
    <row r="544" spans="2:19" x14ac:dyDescent="0.25">
      <c r="B544" s="3" t="e">
        <f t="shared" si="9"/>
        <v>#N/A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5"/>
    </row>
    <row r="545" spans="2:19" x14ac:dyDescent="0.25">
      <c r="B545" s="3" t="e">
        <f t="shared" si="9"/>
        <v>#N/A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5"/>
    </row>
    <row r="546" spans="2:19" x14ac:dyDescent="0.25">
      <c r="B546" s="3" t="e">
        <f t="shared" si="9"/>
        <v>#N/A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5"/>
    </row>
    <row r="547" spans="2:19" x14ac:dyDescent="0.25">
      <c r="B547" s="3" t="e">
        <f t="shared" si="9"/>
        <v>#N/A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5"/>
    </row>
    <row r="548" spans="2:19" x14ac:dyDescent="0.25">
      <c r="B548" s="3" t="e">
        <f t="shared" si="9"/>
        <v>#N/A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5"/>
    </row>
    <row r="549" spans="2:19" x14ac:dyDescent="0.25">
      <c r="B549" s="3" t="e">
        <f t="shared" si="9"/>
        <v>#N/A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5"/>
    </row>
    <row r="550" spans="2:19" x14ac:dyDescent="0.25">
      <c r="B550" s="3" t="e">
        <f t="shared" si="9"/>
        <v>#N/A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5"/>
    </row>
    <row r="551" spans="2:19" x14ac:dyDescent="0.25">
      <c r="B551" s="3" t="e">
        <f t="shared" si="9"/>
        <v>#N/A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5"/>
    </row>
    <row r="552" spans="2:19" x14ac:dyDescent="0.25">
      <c r="B552" s="3" t="e">
        <f t="shared" si="9"/>
        <v>#N/A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5"/>
    </row>
    <row r="553" spans="2:19" x14ac:dyDescent="0.25">
      <c r="B553" s="3" t="e">
        <f t="shared" si="9"/>
        <v>#N/A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5"/>
    </row>
    <row r="554" spans="2:19" x14ac:dyDescent="0.25">
      <c r="B554" s="3" t="e">
        <f t="shared" si="9"/>
        <v>#N/A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5"/>
    </row>
    <row r="555" spans="2:19" x14ac:dyDescent="0.25">
      <c r="B555" s="3" t="e">
        <f t="shared" si="9"/>
        <v>#N/A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5"/>
    </row>
    <row r="556" spans="2:19" x14ac:dyDescent="0.25">
      <c r="B556" s="3" t="e">
        <f t="shared" si="9"/>
        <v>#N/A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5"/>
    </row>
    <row r="557" spans="2:19" x14ac:dyDescent="0.25">
      <c r="B557" s="3" t="e">
        <f t="shared" si="9"/>
        <v>#N/A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5"/>
    </row>
    <row r="558" spans="2:19" x14ac:dyDescent="0.25">
      <c r="B558" s="3" t="e">
        <f t="shared" si="9"/>
        <v>#N/A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5"/>
    </row>
    <row r="559" spans="2:19" x14ac:dyDescent="0.25">
      <c r="B559" s="3" t="e">
        <f t="shared" si="9"/>
        <v>#N/A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5"/>
    </row>
    <row r="560" spans="2:19" x14ac:dyDescent="0.25">
      <c r="B560" s="3" t="e">
        <f t="shared" si="9"/>
        <v>#N/A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5"/>
    </row>
    <row r="561" spans="2:19" x14ac:dyDescent="0.25">
      <c r="B561" s="3" t="e">
        <f t="shared" si="9"/>
        <v>#N/A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5"/>
    </row>
    <row r="562" spans="2:19" x14ac:dyDescent="0.25">
      <c r="B562" s="3" t="e">
        <f t="shared" si="9"/>
        <v>#N/A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5"/>
    </row>
    <row r="563" spans="2:19" x14ac:dyDescent="0.25">
      <c r="B563" s="3" t="e">
        <f t="shared" si="9"/>
        <v>#N/A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5"/>
    </row>
    <row r="564" spans="2:19" x14ac:dyDescent="0.25">
      <c r="B564" s="3" t="e">
        <f t="shared" si="9"/>
        <v>#N/A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5"/>
    </row>
    <row r="565" spans="2:19" x14ac:dyDescent="0.25">
      <c r="B565" s="3" t="e">
        <f t="shared" si="9"/>
        <v>#N/A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5"/>
    </row>
    <row r="566" spans="2:19" x14ac:dyDescent="0.25">
      <c r="B566" s="3" t="e">
        <f t="shared" si="9"/>
        <v>#N/A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5"/>
    </row>
    <row r="567" spans="2:19" x14ac:dyDescent="0.25">
      <c r="B567" s="3" t="e">
        <f t="shared" si="9"/>
        <v>#N/A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5"/>
    </row>
    <row r="568" spans="2:19" x14ac:dyDescent="0.25">
      <c r="B568" s="3" t="e">
        <f t="shared" si="9"/>
        <v>#N/A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5"/>
    </row>
    <row r="569" spans="2:19" x14ac:dyDescent="0.25">
      <c r="B569" s="3" t="e">
        <f t="shared" si="9"/>
        <v>#N/A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5"/>
    </row>
    <row r="570" spans="2:19" x14ac:dyDescent="0.25">
      <c r="B570" s="3" t="e">
        <f t="shared" si="9"/>
        <v>#N/A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5"/>
    </row>
    <row r="571" spans="2:19" x14ac:dyDescent="0.25">
      <c r="B571" s="3" t="e">
        <f t="shared" si="9"/>
        <v>#N/A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5"/>
    </row>
    <row r="572" spans="2:19" x14ac:dyDescent="0.25">
      <c r="B572" s="3" t="e">
        <f t="shared" si="9"/>
        <v>#N/A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5"/>
    </row>
    <row r="573" spans="2:19" x14ac:dyDescent="0.25">
      <c r="B573" s="3" t="e">
        <f t="shared" si="9"/>
        <v>#N/A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5"/>
    </row>
    <row r="574" spans="2:19" x14ac:dyDescent="0.25">
      <c r="B574" s="3" t="e">
        <f t="shared" si="9"/>
        <v>#N/A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5"/>
    </row>
    <row r="575" spans="2:19" x14ac:dyDescent="0.25">
      <c r="B575" s="3" t="e">
        <f t="shared" si="9"/>
        <v>#N/A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5"/>
    </row>
    <row r="576" spans="2:19" x14ac:dyDescent="0.25">
      <c r="B576" s="3" t="e">
        <f t="shared" si="9"/>
        <v>#N/A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5"/>
    </row>
    <row r="577" spans="2:19" x14ac:dyDescent="0.25">
      <c r="B577" s="3" t="e">
        <f t="shared" si="9"/>
        <v>#N/A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5"/>
    </row>
    <row r="578" spans="2:19" x14ac:dyDescent="0.25">
      <c r="B578" s="3" t="e">
        <f t="shared" si="9"/>
        <v>#N/A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5"/>
    </row>
    <row r="579" spans="2:19" x14ac:dyDescent="0.25">
      <c r="B579" s="3" t="e">
        <f t="shared" si="9"/>
        <v>#N/A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5"/>
    </row>
    <row r="580" spans="2:19" x14ac:dyDescent="0.25">
      <c r="B580" s="3" t="e">
        <f t="shared" si="9"/>
        <v>#N/A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5"/>
    </row>
    <row r="581" spans="2:19" x14ac:dyDescent="0.25">
      <c r="B581" s="3" t="e">
        <f t="shared" si="9"/>
        <v>#N/A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5"/>
    </row>
    <row r="582" spans="2:19" x14ac:dyDescent="0.25">
      <c r="B582" s="3" t="e">
        <f t="shared" ref="B582:B645" si="10">IF(ISNUMBER(D582),D582-D581, NA())</f>
        <v>#N/A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5"/>
    </row>
    <row r="583" spans="2:19" x14ac:dyDescent="0.25">
      <c r="B583" s="3" t="e">
        <f t="shared" si="10"/>
        <v>#N/A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5"/>
    </row>
    <row r="584" spans="2:19" x14ac:dyDescent="0.25">
      <c r="B584" s="3" t="e">
        <f t="shared" si="10"/>
        <v>#N/A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5"/>
    </row>
    <row r="585" spans="2:19" x14ac:dyDescent="0.25">
      <c r="B585" s="3" t="e">
        <f t="shared" si="10"/>
        <v>#N/A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5"/>
    </row>
    <row r="586" spans="2:19" x14ac:dyDescent="0.25">
      <c r="B586" s="3" t="e">
        <f t="shared" si="10"/>
        <v>#N/A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5"/>
    </row>
    <row r="587" spans="2:19" x14ac:dyDescent="0.25">
      <c r="B587" s="3" t="e">
        <f t="shared" si="10"/>
        <v>#N/A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5"/>
    </row>
    <row r="588" spans="2:19" x14ac:dyDescent="0.25">
      <c r="B588" s="3" t="e">
        <f t="shared" si="10"/>
        <v>#N/A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5"/>
    </row>
    <row r="589" spans="2:19" x14ac:dyDescent="0.25">
      <c r="B589" s="3" t="e">
        <f t="shared" si="10"/>
        <v>#N/A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5"/>
    </row>
    <row r="590" spans="2:19" x14ac:dyDescent="0.25">
      <c r="B590" s="3" t="e">
        <f t="shared" si="10"/>
        <v>#N/A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5"/>
    </row>
    <row r="591" spans="2:19" x14ac:dyDescent="0.25">
      <c r="B591" s="3" t="e">
        <f t="shared" si="10"/>
        <v>#N/A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5"/>
    </row>
    <row r="592" spans="2:19" x14ac:dyDescent="0.25">
      <c r="B592" s="3" t="e">
        <f t="shared" si="10"/>
        <v>#N/A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5"/>
    </row>
    <row r="593" spans="2:19" x14ac:dyDescent="0.25">
      <c r="B593" s="3" t="e">
        <f t="shared" si="10"/>
        <v>#N/A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5"/>
    </row>
    <row r="594" spans="2:19" x14ac:dyDescent="0.25">
      <c r="B594" s="3" t="e">
        <f t="shared" si="10"/>
        <v>#N/A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5"/>
    </row>
    <row r="595" spans="2:19" x14ac:dyDescent="0.25">
      <c r="B595" s="3" t="e">
        <f t="shared" si="10"/>
        <v>#N/A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5"/>
    </row>
    <row r="596" spans="2:19" x14ac:dyDescent="0.25">
      <c r="B596" s="3" t="e">
        <f t="shared" si="10"/>
        <v>#N/A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5"/>
    </row>
    <row r="597" spans="2:19" x14ac:dyDescent="0.25">
      <c r="B597" s="3" t="e">
        <f t="shared" si="10"/>
        <v>#N/A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5"/>
    </row>
    <row r="598" spans="2:19" x14ac:dyDescent="0.25">
      <c r="B598" s="3" t="e">
        <f t="shared" si="10"/>
        <v>#N/A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5"/>
    </row>
    <row r="599" spans="2:19" x14ac:dyDescent="0.25">
      <c r="B599" s="3" t="e">
        <f t="shared" si="10"/>
        <v>#N/A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5"/>
    </row>
    <row r="600" spans="2:19" x14ac:dyDescent="0.25">
      <c r="B600" s="3" t="e">
        <f t="shared" si="10"/>
        <v>#N/A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5"/>
    </row>
    <row r="601" spans="2:19" x14ac:dyDescent="0.25">
      <c r="B601" s="3" t="e">
        <f t="shared" si="10"/>
        <v>#N/A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5"/>
    </row>
    <row r="602" spans="2:19" x14ac:dyDescent="0.25">
      <c r="B602" s="3" t="e">
        <f t="shared" si="10"/>
        <v>#N/A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5"/>
    </row>
    <row r="603" spans="2:19" x14ac:dyDescent="0.25">
      <c r="B603" s="3" t="e">
        <f t="shared" si="10"/>
        <v>#N/A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5"/>
    </row>
    <row r="604" spans="2:19" x14ac:dyDescent="0.25">
      <c r="B604" s="3" t="e">
        <f t="shared" si="10"/>
        <v>#N/A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5"/>
    </row>
    <row r="605" spans="2:19" x14ac:dyDescent="0.25">
      <c r="B605" s="3" t="e">
        <f t="shared" si="10"/>
        <v>#N/A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5"/>
    </row>
    <row r="606" spans="2:19" x14ac:dyDescent="0.25">
      <c r="B606" s="3" t="e">
        <f t="shared" si="10"/>
        <v>#N/A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5"/>
    </row>
    <row r="607" spans="2:19" x14ac:dyDescent="0.25">
      <c r="B607" s="3" t="e">
        <f t="shared" si="10"/>
        <v>#N/A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5"/>
    </row>
    <row r="608" spans="2:19" x14ac:dyDescent="0.25">
      <c r="B608" s="3" t="e">
        <f t="shared" si="10"/>
        <v>#N/A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5"/>
    </row>
    <row r="609" spans="2:19" x14ac:dyDescent="0.25">
      <c r="B609" s="3" t="e">
        <f t="shared" si="10"/>
        <v>#N/A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5"/>
    </row>
    <row r="610" spans="2:19" x14ac:dyDescent="0.25">
      <c r="B610" s="3" t="e">
        <f t="shared" si="10"/>
        <v>#N/A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5"/>
    </row>
    <row r="611" spans="2:19" x14ac:dyDescent="0.25">
      <c r="B611" s="3" t="e">
        <f t="shared" si="10"/>
        <v>#N/A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5"/>
    </row>
    <row r="612" spans="2:19" x14ac:dyDescent="0.25">
      <c r="B612" s="3" t="e">
        <f t="shared" si="10"/>
        <v>#N/A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5"/>
    </row>
    <row r="613" spans="2:19" x14ac:dyDescent="0.25">
      <c r="B613" s="3" t="e">
        <f t="shared" si="10"/>
        <v>#N/A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5"/>
    </row>
    <row r="614" spans="2:19" x14ac:dyDescent="0.25">
      <c r="B614" s="3" t="e">
        <f t="shared" si="10"/>
        <v>#N/A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5"/>
    </row>
    <row r="615" spans="2:19" x14ac:dyDescent="0.25">
      <c r="B615" s="3" t="e">
        <f t="shared" si="10"/>
        <v>#N/A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5"/>
    </row>
    <row r="616" spans="2:19" x14ac:dyDescent="0.25">
      <c r="B616" s="3" t="e">
        <f t="shared" si="10"/>
        <v>#N/A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5"/>
    </row>
    <row r="617" spans="2:19" x14ac:dyDescent="0.25">
      <c r="B617" s="3" t="e">
        <f t="shared" si="10"/>
        <v>#N/A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5"/>
    </row>
    <row r="618" spans="2:19" x14ac:dyDescent="0.25">
      <c r="B618" s="3" t="e">
        <f t="shared" si="10"/>
        <v>#N/A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5"/>
    </row>
    <row r="619" spans="2:19" x14ac:dyDescent="0.25">
      <c r="B619" s="3" t="e">
        <f t="shared" si="10"/>
        <v>#N/A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5"/>
    </row>
    <row r="620" spans="2:19" x14ac:dyDescent="0.25">
      <c r="B620" s="3" t="e">
        <f t="shared" si="10"/>
        <v>#N/A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5"/>
    </row>
    <row r="621" spans="2:19" x14ac:dyDescent="0.25">
      <c r="B621" s="3" t="e">
        <f t="shared" si="10"/>
        <v>#N/A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5"/>
    </row>
    <row r="622" spans="2:19" x14ac:dyDescent="0.25">
      <c r="B622" s="3" t="e">
        <f t="shared" si="10"/>
        <v>#N/A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5"/>
    </row>
    <row r="623" spans="2:19" x14ac:dyDescent="0.25">
      <c r="B623" s="3" t="e">
        <f t="shared" si="10"/>
        <v>#N/A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5"/>
    </row>
    <row r="624" spans="2:19" x14ac:dyDescent="0.25">
      <c r="B624" s="3" t="e">
        <f t="shared" si="10"/>
        <v>#N/A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5"/>
    </row>
    <row r="625" spans="2:19" x14ac:dyDescent="0.25">
      <c r="B625" s="3" t="e">
        <f t="shared" si="10"/>
        <v>#N/A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5"/>
    </row>
    <row r="626" spans="2:19" x14ac:dyDescent="0.25">
      <c r="B626" s="3" t="e">
        <f t="shared" si="10"/>
        <v>#N/A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5"/>
    </row>
    <row r="627" spans="2:19" x14ac:dyDescent="0.25">
      <c r="B627" s="3" t="e">
        <f t="shared" si="10"/>
        <v>#N/A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5"/>
    </row>
    <row r="628" spans="2:19" x14ac:dyDescent="0.25">
      <c r="B628" s="3" t="e">
        <f t="shared" si="10"/>
        <v>#N/A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5"/>
    </row>
    <row r="629" spans="2:19" x14ac:dyDescent="0.25">
      <c r="B629" s="3" t="e">
        <f t="shared" si="10"/>
        <v>#N/A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5"/>
    </row>
    <row r="630" spans="2:19" x14ac:dyDescent="0.25">
      <c r="B630" s="3" t="e">
        <f t="shared" si="10"/>
        <v>#N/A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5"/>
    </row>
    <row r="631" spans="2:19" x14ac:dyDescent="0.25">
      <c r="B631" s="3" t="e">
        <f t="shared" si="10"/>
        <v>#N/A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5"/>
    </row>
    <row r="632" spans="2:19" x14ac:dyDescent="0.25">
      <c r="B632" s="3" t="e">
        <f t="shared" si="10"/>
        <v>#N/A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5"/>
    </row>
    <row r="633" spans="2:19" x14ac:dyDescent="0.25">
      <c r="B633" s="3" t="e">
        <f t="shared" si="10"/>
        <v>#N/A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5"/>
    </row>
    <row r="634" spans="2:19" x14ac:dyDescent="0.25">
      <c r="B634" s="3" t="e">
        <f t="shared" si="10"/>
        <v>#N/A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5"/>
    </row>
    <row r="635" spans="2:19" x14ac:dyDescent="0.25">
      <c r="B635" s="3" t="e">
        <f t="shared" si="10"/>
        <v>#N/A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5"/>
    </row>
    <row r="636" spans="2:19" x14ac:dyDescent="0.25">
      <c r="B636" s="3" t="e">
        <f t="shared" si="10"/>
        <v>#N/A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5"/>
    </row>
    <row r="637" spans="2:19" x14ac:dyDescent="0.25">
      <c r="B637" s="3" t="e">
        <f t="shared" si="10"/>
        <v>#N/A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5"/>
    </row>
    <row r="638" spans="2:19" x14ac:dyDescent="0.25">
      <c r="B638" s="3" t="e">
        <f t="shared" si="10"/>
        <v>#N/A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5"/>
    </row>
    <row r="639" spans="2:19" x14ac:dyDescent="0.25">
      <c r="B639" s="3" t="e">
        <f t="shared" si="10"/>
        <v>#N/A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5"/>
    </row>
    <row r="640" spans="2:19" x14ac:dyDescent="0.25">
      <c r="B640" s="3" t="e">
        <f t="shared" si="10"/>
        <v>#N/A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5"/>
    </row>
    <row r="641" spans="2:19" x14ac:dyDescent="0.25">
      <c r="B641" s="3" t="e">
        <f t="shared" si="10"/>
        <v>#N/A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5"/>
    </row>
    <row r="642" spans="2:19" x14ac:dyDescent="0.25">
      <c r="B642" s="3" t="e">
        <f t="shared" si="10"/>
        <v>#N/A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5"/>
    </row>
    <row r="643" spans="2:19" x14ac:dyDescent="0.25">
      <c r="B643" s="3" t="e">
        <f t="shared" si="10"/>
        <v>#N/A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5"/>
    </row>
    <row r="644" spans="2:19" x14ac:dyDescent="0.25">
      <c r="B644" s="3" t="e">
        <f t="shared" si="10"/>
        <v>#N/A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5"/>
    </row>
    <row r="645" spans="2:19" x14ac:dyDescent="0.25">
      <c r="B645" s="3" t="e">
        <f t="shared" si="10"/>
        <v>#N/A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5"/>
    </row>
    <row r="646" spans="2:19" x14ac:dyDescent="0.25">
      <c r="B646" s="3" t="e">
        <f t="shared" ref="B646:B709" si="11">IF(ISNUMBER(D646),D646-D645, NA())</f>
        <v>#N/A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5"/>
    </row>
    <row r="647" spans="2:19" x14ac:dyDescent="0.25">
      <c r="B647" s="3" t="e">
        <f t="shared" si="11"/>
        <v>#N/A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5"/>
    </row>
    <row r="648" spans="2:19" x14ac:dyDescent="0.25">
      <c r="B648" s="3" t="e">
        <f t="shared" si="11"/>
        <v>#N/A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5"/>
    </row>
    <row r="649" spans="2:19" x14ac:dyDescent="0.25">
      <c r="B649" s="3" t="e">
        <f t="shared" si="11"/>
        <v>#N/A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5"/>
    </row>
    <row r="650" spans="2:19" x14ac:dyDescent="0.25">
      <c r="B650" s="3" t="e">
        <f t="shared" si="11"/>
        <v>#N/A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5"/>
    </row>
    <row r="651" spans="2:19" x14ac:dyDescent="0.25">
      <c r="B651" s="3" t="e">
        <f t="shared" si="11"/>
        <v>#N/A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5"/>
    </row>
    <row r="652" spans="2:19" x14ac:dyDescent="0.25">
      <c r="B652" s="3" t="e">
        <f t="shared" si="11"/>
        <v>#N/A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5"/>
    </row>
    <row r="653" spans="2:19" x14ac:dyDescent="0.25">
      <c r="B653" s="3" t="e">
        <f t="shared" si="11"/>
        <v>#N/A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5"/>
    </row>
    <row r="654" spans="2:19" x14ac:dyDescent="0.25">
      <c r="B654" s="3" t="e">
        <f t="shared" si="11"/>
        <v>#N/A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5"/>
    </row>
    <row r="655" spans="2:19" x14ac:dyDescent="0.25">
      <c r="B655" s="3" t="e">
        <f t="shared" si="11"/>
        <v>#N/A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5"/>
    </row>
    <row r="656" spans="2:19" x14ac:dyDescent="0.25">
      <c r="B656" s="3" t="e">
        <f t="shared" si="11"/>
        <v>#N/A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5"/>
    </row>
    <row r="657" spans="2:19" x14ac:dyDescent="0.25">
      <c r="B657" s="3" t="e">
        <f t="shared" si="11"/>
        <v>#N/A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5"/>
    </row>
    <row r="658" spans="2:19" x14ac:dyDescent="0.25">
      <c r="B658" s="3" t="e">
        <f t="shared" si="11"/>
        <v>#N/A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5"/>
    </row>
    <row r="659" spans="2:19" x14ac:dyDescent="0.25">
      <c r="B659" s="3" t="e">
        <f t="shared" si="11"/>
        <v>#N/A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5"/>
    </row>
    <row r="660" spans="2:19" x14ac:dyDescent="0.25">
      <c r="B660" s="3" t="e">
        <f t="shared" si="11"/>
        <v>#N/A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5"/>
    </row>
    <row r="661" spans="2:19" x14ac:dyDescent="0.25">
      <c r="B661" s="3" t="e">
        <f t="shared" si="11"/>
        <v>#N/A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5"/>
    </row>
    <row r="662" spans="2:19" x14ac:dyDescent="0.25">
      <c r="B662" s="3" t="e">
        <f t="shared" si="11"/>
        <v>#N/A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5"/>
    </row>
    <row r="663" spans="2:19" x14ac:dyDescent="0.25">
      <c r="B663" s="3" t="e">
        <f t="shared" si="11"/>
        <v>#N/A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5"/>
    </row>
    <row r="664" spans="2:19" x14ac:dyDescent="0.25">
      <c r="B664" s="3" t="e">
        <f t="shared" si="11"/>
        <v>#N/A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5"/>
    </row>
    <row r="665" spans="2:19" x14ac:dyDescent="0.25">
      <c r="B665" s="3" t="e">
        <f t="shared" si="11"/>
        <v>#N/A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5"/>
    </row>
    <row r="666" spans="2:19" x14ac:dyDescent="0.25">
      <c r="B666" s="3" t="e">
        <f t="shared" si="11"/>
        <v>#N/A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5"/>
    </row>
    <row r="667" spans="2:19" x14ac:dyDescent="0.25">
      <c r="B667" s="3" t="e">
        <f t="shared" si="11"/>
        <v>#N/A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5"/>
    </row>
    <row r="668" spans="2:19" x14ac:dyDescent="0.25">
      <c r="B668" s="3" t="e">
        <f t="shared" si="11"/>
        <v>#N/A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5"/>
    </row>
    <row r="669" spans="2:19" x14ac:dyDescent="0.25">
      <c r="B669" s="3" t="e">
        <f t="shared" si="11"/>
        <v>#N/A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5"/>
    </row>
    <row r="670" spans="2:19" x14ac:dyDescent="0.25">
      <c r="B670" s="3" t="e">
        <f t="shared" si="11"/>
        <v>#N/A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5"/>
    </row>
    <row r="671" spans="2:19" x14ac:dyDescent="0.25">
      <c r="B671" s="3" t="e">
        <f t="shared" si="11"/>
        <v>#N/A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5"/>
    </row>
    <row r="672" spans="2:19" x14ac:dyDescent="0.25">
      <c r="B672" s="3" t="e">
        <f t="shared" si="11"/>
        <v>#N/A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5"/>
    </row>
    <row r="673" spans="2:19" x14ac:dyDescent="0.25">
      <c r="B673" s="3" t="e">
        <f t="shared" si="11"/>
        <v>#N/A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5"/>
    </row>
    <row r="674" spans="2:19" x14ac:dyDescent="0.25">
      <c r="B674" s="3" t="e">
        <f t="shared" si="11"/>
        <v>#N/A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5"/>
    </row>
    <row r="675" spans="2:19" x14ac:dyDescent="0.25">
      <c r="B675" s="3" t="e">
        <f t="shared" si="11"/>
        <v>#N/A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5"/>
    </row>
    <row r="676" spans="2:19" x14ac:dyDescent="0.25">
      <c r="B676" s="3" t="e">
        <f t="shared" si="11"/>
        <v>#N/A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5"/>
    </row>
    <row r="677" spans="2:19" x14ac:dyDescent="0.25">
      <c r="B677" s="3" t="e">
        <f t="shared" si="11"/>
        <v>#N/A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5"/>
    </row>
    <row r="678" spans="2:19" x14ac:dyDescent="0.25">
      <c r="B678" s="3" t="e">
        <f t="shared" si="11"/>
        <v>#N/A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5"/>
    </row>
    <row r="679" spans="2:19" x14ac:dyDescent="0.25">
      <c r="B679" s="3" t="e">
        <f t="shared" si="11"/>
        <v>#N/A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5"/>
    </row>
    <row r="680" spans="2:19" x14ac:dyDescent="0.25">
      <c r="B680" s="3" t="e">
        <f t="shared" si="11"/>
        <v>#N/A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5"/>
    </row>
    <row r="681" spans="2:19" x14ac:dyDescent="0.25">
      <c r="B681" s="3" t="e">
        <f t="shared" si="11"/>
        <v>#N/A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5"/>
    </row>
    <row r="682" spans="2:19" x14ac:dyDescent="0.25">
      <c r="B682" s="3" t="e">
        <f t="shared" si="11"/>
        <v>#N/A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5"/>
    </row>
    <row r="683" spans="2:19" x14ac:dyDescent="0.25">
      <c r="B683" s="3" t="e">
        <f t="shared" si="11"/>
        <v>#N/A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5"/>
    </row>
    <row r="684" spans="2:19" x14ac:dyDescent="0.25">
      <c r="B684" s="3" t="e">
        <f t="shared" si="11"/>
        <v>#N/A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5"/>
    </row>
    <row r="685" spans="2:19" x14ac:dyDescent="0.25">
      <c r="B685" s="3" t="e">
        <f t="shared" si="11"/>
        <v>#N/A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5"/>
    </row>
    <row r="686" spans="2:19" x14ac:dyDescent="0.25">
      <c r="B686" s="3" t="e">
        <f t="shared" si="11"/>
        <v>#N/A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5"/>
    </row>
    <row r="687" spans="2:19" x14ac:dyDescent="0.25">
      <c r="B687" s="3" t="e">
        <f t="shared" si="11"/>
        <v>#N/A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5"/>
    </row>
    <row r="688" spans="2:19" x14ac:dyDescent="0.25">
      <c r="B688" s="3" t="e">
        <f t="shared" si="11"/>
        <v>#N/A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5"/>
    </row>
    <row r="689" spans="2:19" x14ac:dyDescent="0.25">
      <c r="B689" s="3" t="e">
        <f t="shared" si="11"/>
        <v>#N/A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5"/>
    </row>
    <row r="690" spans="2:19" x14ac:dyDescent="0.25">
      <c r="B690" s="3" t="e">
        <f t="shared" si="11"/>
        <v>#N/A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5"/>
    </row>
    <row r="691" spans="2:19" x14ac:dyDescent="0.25">
      <c r="B691" s="3" t="e">
        <f t="shared" si="11"/>
        <v>#N/A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5"/>
    </row>
    <row r="692" spans="2:19" x14ac:dyDescent="0.25">
      <c r="B692" s="3" t="e">
        <f t="shared" si="11"/>
        <v>#N/A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5"/>
    </row>
    <row r="693" spans="2:19" x14ac:dyDescent="0.25">
      <c r="B693" s="3" t="e">
        <f t="shared" si="11"/>
        <v>#N/A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5"/>
    </row>
    <row r="694" spans="2:19" x14ac:dyDescent="0.25">
      <c r="B694" s="3" t="e">
        <f t="shared" si="11"/>
        <v>#N/A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5"/>
    </row>
    <row r="695" spans="2:19" x14ac:dyDescent="0.25">
      <c r="B695" s="3" t="e">
        <f t="shared" si="11"/>
        <v>#N/A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5"/>
    </row>
    <row r="696" spans="2:19" x14ac:dyDescent="0.25">
      <c r="B696" s="3" t="e">
        <f t="shared" si="11"/>
        <v>#N/A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5"/>
    </row>
    <row r="697" spans="2:19" x14ac:dyDescent="0.25">
      <c r="B697" s="3" t="e">
        <f t="shared" si="11"/>
        <v>#N/A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5"/>
    </row>
    <row r="698" spans="2:19" x14ac:dyDescent="0.25">
      <c r="B698" s="3" t="e">
        <f t="shared" si="11"/>
        <v>#N/A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5"/>
    </row>
    <row r="699" spans="2:19" x14ac:dyDescent="0.25">
      <c r="B699" s="3" t="e">
        <f t="shared" si="11"/>
        <v>#N/A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5"/>
    </row>
    <row r="700" spans="2:19" x14ac:dyDescent="0.25">
      <c r="B700" s="3" t="e">
        <f t="shared" si="11"/>
        <v>#N/A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5"/>
    </row>
    <row r="701" spans="2:19" x14ac:dyDescent="0.25">
      <c r="B701" s="3" t="e">
        <f t="shared" si="11"/>
        <v>#N/A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5"/>
    </row>
    <row r="702" spans="2:19" x14ac:dyDescent="0.25">
      <c r="B702" s="3" t="e">
        <f t="shared" si="11"/>
        <v>#N/A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5"/>
    </row>
    <row r="703" spans="2:19" x14ac:dyDescent="0.25">
      <c r="B703" s="3" t="e">
        <f t="shared" si="11"/>
        <v>#N/A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5"/>
    </row>
    <row r="704" spans="2:19" x14ac:dyDescent="0.25">
      <c r="B704" s="3" t="e">
        <f t="shared" si="11"/>
        <v>#N/A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5"/>
    </row>
    <row r="705" spans="2:19" x14ac:dyDescent="0.25">
      <c r="B705" s="3" t="e">
        <f t="shared" si="11"/>
        <v>#N/A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5"/>
    </row>
    <row r="706" spans="2:19" x14ac:dyDescent="0.25">
      <c r="B706" s="3" t="e">
        <f t="shared" si="11"/>
        <v>#N/A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5"/>
    </row>
    <row r="707" spans="2:19" x14ac:dyDescent="0.25">
      <c r="B707" s="3" t="e">
        <f t="shared" si="11"/>
        <v>#N/A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5"/>
    </row>
    <row r="708" spans="2:19" x14ac:dyDescent="0.25">
      <c r="B708" s="3" t="e">
        <f t="shared" si="11"/>
        <v>#N/A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5"/>
    </row>
    <row r="709" spans="2:19" x14ac:dyDescent="0.25">
      <c r="B709" s="3" t="e">
        <f t="shared" si="11"/>
        <v>#N/A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5"/>
    </row>
    <row r="710" spans="2:19" x14ac:dyDescent="0.25">
      <c r="B710" s="3" t="e">
        <f t="shared" ref="B710:B773" si="12">IF(ISNUMBER(D710),D710-D709, NA())</f>
        <v>#N/A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5"/>
    </row>
    <row r="711" spans="2:19" x14ac:dyDescent="0.25">
      <c r="B711" s="3" t="e">
        <f t="shared" si="12"/>
        <v>#N/A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5"/>
    </row>
    <row r="712" spans="2:19" x14ac:dyDescent="0.25">
      <c r="B712" s="3" t="e">
        <f t="shared" si="12"/>
        <v>#N/A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5"/>
    </row>
    <row r="713" spans="2:19" x14ac:dyDescent="0.25">
      <c r="B713" s="3" t="e">
        <f t="shared" si="12"/>
        <v>#N/A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5"/>
    </row>
    <row r="714" spans="2:19" x14ac:dyDescent="0.25">
      <c r="B714" s="3" t="e">
        <f t="shared" si="12"/>
        <v>#N/A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5"/>
    </row>
    <row r="715" spans="2:19" x14ac:dyDescent="0.25">
      <c r="B715" s="3" t="e">
        <f t="shared" si="12"/>
        <v>#N/A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5"/>
    </row>
    <row r="716" spans="2:19" x14ac:dyDescent="0.25">
      <c r="B716" s="3" t="e">
        <f t="shared" si="12"/>
        <v>#N/A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5"/>
    </row>
    <row r="717" spans="2:19" x14ac:dyDescent="0.25">
      <c r="B717" s="3" t="e">
        <f t="shared" si="12"/>
        <v>#N/A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5"/>
    </row>
    <row r="718" spans="2:19" x14ac:dyDescent="0.25">
      <c r="B718" s="3" t="e">
        <f t="shared" si="12"/>
        <v>#N/A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5"/>
    </row>
    <row r="719" spans="2:19" x14ac:dyDescent="0.25">
      <c r="B719" s="3" t="e">
        <f t="shared" si="12"/>
        <v>#N/A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5"/>
    </row>
    <row r="720" spans="2:19" x14ac:dyDescent="0.25">
      <c r="B720" s="3" t="e">
        <f t="shared" si="12"/>
        <v>#N/A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5"/>
    </row>
    <row r="721" spans="2:19" x14ac:dyDescent="0.25">
      <c r="B721" s="3" t="e">
        <f t="shared" si="12"/>
        <v>#N/A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5"/>
    </row>
    <row r="722" spans="2:19" x14ac:dyDescent="0.25">
      <c r="B722" s="3" t="e">
        <f t="shared" si="12"/>
        <v>#N/A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5"/>
    </row>
    <row r="723" spans="2:19" x14ac:dyDescent="0.25">
      <c r="B723" s="3" t="e">
        <f t="shared" si="12"/>
        <v>#N/A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5"/>
    </row>
    <row r="724" spans="2:19" x14ac:dyDescent="0.25">
      <c r="B724" s="3" t="e">
        <f t="shared" si="12"/>
        <v>#N/A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5"/>
    </row>
    <row r="725" spans="2:19" x14ac:dyDescent="0.25">
      <c r="B725" s="3" t="e">
        <f t="shared" si="12"/>
        <v>#N/A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5"/>
    </row>
    <row r="726" spans="2:19" x14ac:dyDescent="0.25">
      <c r="B726" s="3" t="e">
        <f t="shared" si="12"/>
        <v>#N/A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5"/>
    </row>
    <row r="727" spans="2:19" x14ac:dyDescent="0.25">
      <c r="B727" s="3" t="e">
        <f t="shared" si="12"/>
        <v>#N/A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5"/>
    </row>
    <row r="728" spans="2:19" x14ac:dyDescent="0.25">
      <c r="B728" s="3" t="e">
        <f t="shared" si="12"/>
        <v>#N/A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5"/>
    </row>
    <row r="729" spans="2:19" x14ac:dyDescent="0.25">
      <c r="B729" s="3" t="e">
        <f t="shared" si="12"/>
        <v>#N/A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5"/>
    </row>
    <row r="730" spans="2:19" x14ac:dyDescent="0.25">
      <c r="B730" s="3" t="e">
        <f t="shared" si="12"/>
        <v>#N/A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5"/>
    </row>
    <row r="731" spans="2:19" x14ac:dyDescent="0.25">
      <c r="B731" s="3" t="e">
        <f t="shared" si="12"/>
        <v>#N/A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5"/>
    </row>
    <row r="732" spans="2:19" x14ac:dyDescent="0.25">
      <c r="B732" s="3" t="e">
        <f t="shared" si="12"/>
        <v>#N/A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5"/>
    </row>
    <row r="733" spans="2:19" x14ac:dyDescent="0.25">
      <c r="B733" s="3" t="e">
        <f t="shared" si="12"/>
        <v>#N/A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5"/>
    </row>
    <row r="734" spans="2:19" x14ac:dyDescent="0.25">
      <c r="B734" s="3" t="e">
        <f t="shared" si="12"/>
        <v>#N/A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5"/>
    </row>
    <row r="735" spans="2:19" x14ac:dyDescent="0.25">
      <c r="B735" s="3" t="e">
        <f t="shared" si="12"/>
        <v>#N/A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5"/>
    </row>
    <row r="736" spans="2:19" x14ac:dyDescent="0.25">
      <c r="B736" s="3" t="e">
        <f t="shared" si="12"/>
        <v>#N/A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5"/>
    </row>
    <row r="737" spans="2:19" x14ac:dyDescent="0.25">
      <c r="B737" s="3" t="e">
        <f t="shared" si="12"/>
        <v>#N/A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5"/>
    </row>
    <row r="738" spans="2:19" x14ac:dyDescent="0.25">
      <c r="B738" s="3" t="e">
        <f t="shared" si="12"/>
        <v>#N/A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5"/>
    </row>
    <row r="739" spans="2:19" x14ac:dyDescent="0.25">
      <c r="B739" s="3" t="e">
        <f t="shared" si="12"/>
        <v>#N/A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5"/>
    </row>
    <row r="740" spans="2:19" x14ac:dyDescent="0.25">
      <c r="B740" s="3" t="e">
        <f t="shared" si="12"/>
        <v>#N/A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5"/>
    </row>
    <row r="741" spans="2:19" x14ac:dyDescent="0.25">
      <c r="B741" s="3" t="e">
        <f t="shared" si="12"/>
        <v>#N/A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5"/>
    </row>
    <row r="742" spans="2:19" x14ac:dyDescent="0.25">
      <c r="B742" s="3" t="e">
        <f t="shared" si="12"/>
        <v>#N/A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5"/>
    </row>
    <row r="743" spans="2:19" x14ac:dyDescent="0.25">
      <c r="B743" s="3" t="e">
        <f t="shared" si="12"/>
        <v>#N/A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5"/>
    </row>
    <row r="744" spans="2:19" x14ac:dyDescent="0.25">
      <c r="B744" s="3" t="e">
        <f t="shared" si="12"/>
        <v>#N/A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5"/>
    </row>
    <row r="745" spans="2:19" x14ac:dyDescent="0.25">
      <c r="B745" s="3" t="e">
        <f t="shared" si="12"/>
        <v>#N/A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5"/>
    </row>
    <row r="746" spans="2:19" x14ac:dyDescent="0.25">
      <c r="B746" s="3" t="e">
        <f t="shared" si="12"/>
        <v>#N/A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5"/>
    </row>
    <row r="747" spans="2:19" x14ac:dyDescent="0.25">
      <c r="B747" s="3" t="e">
        <f t="shared" si="12"/>
        <v>#N/A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5"/>
    </row>
    <row r="748" spans="2:19" x14ac:dyDescent="0.25">
      <c r="B748" s="3" t="e">
        <f t="shared" si="12"/>
        <v>#N/A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5"/>
    </row>
    <row r="749" spans="2:19" x14ac:dyDescent="0.25">
      <c r="B749" s="3" t="e">
        <f t="shared" si="12"/>
        <v>#N/A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5"/>
    </row>
    <row r="750" spans="2:19" x14ac:dyDescent="0.25">
      <c r="B750" s="3" t="e">
        <f t="shared" si="12"/>
        <v>#N/A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5"/>
    </row>
    <row r="751" spans="2:19" x14ac:dyDescent="0.25">
      <c r="B751" s="3" t="e">
        <f t="shared" si="12"/>
        <v>#N/A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5"/>
    </row>
    <row r="752" spans="2:19" x14ac:dyDescent="0.25">
      <c r="B752" s="3" t="e">
        <f t="shared" si="12"/>
        <v>#N/A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5"/>
    </row>
    <row r="753" spans="2:19" x14ac:dyDescent="0.25">
      <c r="B753" s="3" t="e">
        <f t="shared" si="12"/>
        <v>#N/A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5"/>
    </row>
    <row r="754" spans="2:19" x14ac:dyDescent="0.25">
      <c r="B754" s="3" t="e">
        <f t="shared" si="12"/>
        <v>#N/A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5"/>
    </row>
    <row r="755" spans="2:19" x14ac:dyDescent="0.25">
      <c r="B755" s="3" t="e">
        <f t="shared" si="12"/>
        <v>#N/A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5"/>
    </row>
    <row r="756" spans="2:19" x14ac:dyDescent="0.25">
      <c r="B756" s="3" t="e">
        <f t="shared" si="12"/>
        <v>#N/A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5"/>
    </row>
    <row r="757" spans="2:19" x14ac:dyDescent="0.25">
      <c r="B757" s="3" t="e">
        <f t="shared" si="12"/>
        <v>#N/A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5"/>
    </row>
    <row r="758" spans="2:19" x14ac:dyDescent="0.25">
      <c r="B758" s="3" t="e">
        <f t="shared" si="12"/>
        <v>#N/A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5"/>
    </row>
    <row r="759" spans="2:19" x14ac:dyDescent="0.25">
      <c r="B759" s="3" t="e">
        <f t="shared" si="12"/>
        <v>#N/A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5"/>
    </row>
    <row r="760" spans="2:19" x14ac:dyDescent="0.25">
      <c r="B760" s="3" t="e">
        <f t="shared" si="12"/>
        <v>#N/A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5"/>
    </row>
    <row r="761" spans="2:19" x14ac:dyDescent="0.25">
      <c r="B761" s="3" t="e">
        <f t="shared" si="12"/>
        <v>#N/A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5"/>
    </row>
    <row r="762" spans="2:19" x14ac:dyDescent="0.25">
      <c r="B762" s="3" t="e">
        <f t="shared" si="12"/>
        <v>#N/A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5"/>
    </row>
    <row r="763" spans="2:19" x14ac:dyDescent="0.25">
      <c r="B763" s="3" t="e">
        <f t="shared" si="12"/>
        <v>#N/A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5"/>
    </row>
    <row r="764" spans="2:19" x14ac:dyDescent="0.25">
      <c r="B764" s="3" t="e">
        <f t="shared" si="12"/>
        <v>#N/A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5"/>
    </row>
    <row r="765" spans="2:19" x14ac:dyDescent="0.25">
      <c r="B765" s="3" t="e">
        <f t="shared" si="12"/>
        <v>#N/A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5"/>
    </row>
    <row r="766" spans="2:19" x14ac:dyDescent="0.25">
      <c r="B766" s="3" t="e">
        <f t="shared" si="12"/>
        <v>#N/A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5"/>
    </row>
    <row r="767" spans="2:19" x14ac:dyDescent="0.25">
      <c r="B767" s="3" t="e">
        <f t="shared" si="12"/>
        <v>#N/A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5"/>
    </row>
    <row r="768" spans="2:19" x14ac:dyDescent="0.25">
      <c r="B768" s="3" t="e">
        <f t="shared" si="12"/>
        <v>#N/A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5"/>
    </row>
    <row r="769" spans="2:19" x14ac:dyDescent="0.25">
      <c r="B769" s="3" t="e">
        <f t="shared" si="12"/>
        <v>#N/A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5"/>
    </row>
    <row r="770" spans="2:19" x14ac:dyDescent="0.25">
      <c r="B770" s="3" t="e">
        <f t="shared" si="12"/>
        <v>#N/A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5"/>
    </row>
    <row r="771" spans="2:19" x14ac:dyDescent="0.25">
      <c r="B771" s="3" t="e">
        <f t="shared" si="12"/>
        <v>#N/A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5"/>
    </row>
    <row r="772" spans="2:19" x14ac:dyDescent="0.25">
      <c r="B772" s="3" t="e">
        <f t="shared" si="12"/>
        <v>#N/A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5"/>
    </row>
    <row r="773" spans="2:19" x14ac:dyDescent="0.25">
      <c r="B773" s="3" t="e">
        <f t="shared" si="12"/>
        <v>#N/A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5"/>
    </row>
    <row r="774" spans="2:19" x14ac:dyDescent="0.25">
      <c r="B774" s="3" t="e">
        <f t="shared" ref="B774:B837" si="13">IF(ISNUMBER(D774),D774-D773, NA())</f>
        <v>#N/A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5"/>
    </row>
    <row r="775" spans="2:19" x14ac:dyDescent="0.25">
      <c r="B775" s="3" t="e">
        <f t="shared" si="13"/>
        <v>#N/A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5"/>
    </row>
    <row r="776" spans="2:19" x14ac:dyDescent="0.25">
      <c r="B776" s="3" t="e">
        <f t="shared" si="13"/>
        <v>#N/A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5"/>
    </row>
    <row r="777" spans="2:19" x14ac:dyDescent="0.25">
      <c r="B777" s="3" t="e">
        <f t="shared" si="13"/>
        <v>#N/A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5"/>
    </row>
    <row r="778" spans="2:19" x14ac:dyDescent="0.25">
      <c r="B778" s="3" t="e">
        <f t="shared" si="13"/>
        <v>#N/A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5"/>
    </row>
    <row r="779" spans="2:19" x14ac:dyDescent="0.25">
      <c r="B779" s="3" t="e">
        <f t="shared" si="13"/>
        <v>#N/A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5"/>
    </row>
    <row r="780" spans="2:19" x14ac:dyDescent="0.25">
      <c r="B780" s="3" t="e">
        <f t="shared" si="13"/>
        <v>#N/A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5"/>
    </row>
    <row r="781" spans="2:19" x14ac:dyDescent="0.25">
      <c r="B781" s="3" t="e">
        <f t="shared" si="13"/>
        <v>#N/A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5"/>
    </row>
    <row r="782" spans="2:19" x14ac:dyDescent="0.25">
      <c r="B782" s="3" t="e">
        <f t="shared" si="13"/>
        <v>#N/A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5"/>
    </row>
    <row r="783" spans="2:19" x14ac:dyDescent="0.25">
      <c r="B783" s="3" t="e">
        <f t="shared" si="13"/>
        <v>#N/A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5"/>
    </row>
    <row r="784" spans="2:19" x14ac:dyDescent="0.25">
      <c r="B784" s="3" t="e">
        <f t="shared" si="13"/>
        <v>#N/A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5"/>
    </row>
    <row r="785" spans="2:19" x14ac:dyDescent="0.25">
      <c r="B785" s="3" t="e">
        <f t="shared" si="13"/>
        <v>#N/A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5"/>
    </row>
    <row r="786" spans="2:19" x14ac:dyDescent="0.25">
      <c r="B786" s="3" t="e">
        <f t="shared" si="13"/>
        <v>#N/A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5"/>
    </row>
    <row r="787" spans="2:19" x14ac:dyDescent="0.25">
      <c r="B787" s="3" t="e">
        <f t="shared" si="13"/>
        <v>#N/A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5"/>
    </row>
    <row r="788" spans="2:19" x14ac:dyDescent="0.25">
      <c r="B788" s="3" t="e">
        <f t="shared" si="13"/>
        <v>#N/A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5"/>
    </row>
    <row r="789" spans="2:19" x14ac:dyDescent="0.25">
      <c r="B789" s="3" t="e">
        <f t="shared" si="13"/>
        <v>#N/A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5"/>
    </row>
    <row r="790" spans="2:19" x14ac:dyDescent="0.25">
      <c r="B790" s="3" t="e">
        <f t="shared" si="13"/>
        <v>#N/A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5"/>
    </row>
    <row r="791" spans="2:19" x14ac:dyDescent="0.25">
      <c r="B791" s="3" t="e">
        <f t="shared" si="13"/>
        <v>#N/A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5"/>
    </row>
    <row r="792" spans="2:19" x14ac:dyDescent="0.25">
      <c r="B792" s="3" t="e">
        <f t="shared" si="13"/>
        <v>#N/A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5"/>
    </row>
    <row r="793" spans="2:19" x14ac:dyDescent="0.25">
      <c r="B793" s="3" t="e">
        <f t="shared" si="13"/>
        <v>#N/A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5"/>
    </row>
    <row r="794" spans="2:19" x14ac:dyDescent="0.25">
      <c r="B794" s="3" t="e">
        <f t="shared" si="13"/>
        <v>#N/A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5"/>
    </row>
    <row r="795" spans="2:19" x14ac:dyDescent="0.25">
      <c r="B795" s="3" t="e">
        <f t="shared" si="13"/>
        <v>#N/A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5"/>
    </row>
    <row r="796" spans="2:19" x14ac:dyDescent="0.25">
      <c r="B796" s="3" t="e">
        <f t="shared" si="13"/>
        <v>#N/A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5"/>
    </row>
    <row r="797" spans="2:19" x14ac:dyDescent="0.25">
      <c r="B797" s="3" t="e">
        <f t="shared" si="13"/>
        <v>#N/A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5"/>
    </row>
    <row r="798" spans="2:19" x14ac:dyDescent="0.25">
      <c r="B798" s="3" t="e">
        <f t="shared" si="13"/>
        <v>#N/A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5"/>
    </row>
    <row r="799" spans="2:19" x14ac:dyDescent="0.25">
      <c r="B799" s="3" t="e">
        <f t="shared" si="13"/>
        <v>#N/A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5"/>
    </row>
    <row r="800" spans="2:19" x14ac:dyDescent="0.25">
      <c r="B800" s="3" t="e">
        <f t="shared" si="13"/>
        <v>#N/A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5"/>
    </row>
    <row r="801" spans="2:19" x14ac:dyDescent="0.25">
      <c r="B801" s="3" t="e">
        <f t="shared" si="13"/>
        <v>#N/A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5"/>
    </row>
    <row r="802" spans="2:19" x14ac:dyDescent="0.25">
      <c r="B802" s="3" t="e">
        <f t="shared" si="13"/>
        <v>#N/A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5"/>
    </row>
    <row r="803" spans="2:19" x14ac:dyDescent="0.25">
      <c r="B803" s="3" t="e">
        <f t="shared" si="13"/>
        <v>#N/A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5"/>
    </row>
    <row r="804" spans="2:19" x14ac:dyDescent="0.25">
      <c r="B804" s="3" t="e">
        <f t="shared" si="13"/>
        <v>#N/A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5"/>
    </row>
    <row r="805" spans="2:19" x14ac:dyDescent="0.25">
      <c r="B805" s="3" t="e">
        <f t="shared" si="13"/>
        <v>#N/A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5"/>
    </row>
    <row r="806" spans="2:19" x14ac:dyDescent="0.25">
      <c r="B806" s="3" t="e">
        <f t="shared" si="13"/>
        <v>#N/A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5"/>
    </row>
    <row r="807" spans="2:19" x14ac:dyDescent="0.25">
      <c r="B807" s="3" t="e">
        <f t="shared" si="13"/>
        <v>#N/A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5"/>
    </row>
    <row r="808" spans="2:19" x14ac:dyDescent="0.25">
      <c r="B808" s="3" t="e">
        <f t="shared" si="13"/>
        <v>#N/A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5"/>
    </row>
    <row r="809" spans="2:19" x14ac:dyDescent="0.25">
      <c r="B809" s="3" t="e">
        <f t="shared" si="13"/>
        <v>#N/A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5"/>
    </row>
    <row r="810" spans="2:19" x14ac:dyDescent="0.25">
      <c r="B810" s="3" t="e">
        <f t="shared" si="13"/>
        <v>#N/A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5"/>
    </row>
    <row r="811" spans="2:19" x14ac:dyDescent="0.25">
      <c r="B811" s="3" t="e">
        <f t="shared" si="13"/>
        <v>#N/A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5"/>
    </row>
    <row r="812" spans="2:19" x14ac:dyDescent="0.25">
      <c r="B812" s="3" t="e">
        <f t="shared" si="13"/>
        <v>#N/A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5"/>
    </row>
    <row r="813" spans="2:19" x14ac:dyDescent="0.25">
      <c r="B813" s="3" t="e">
        <f t="shared" si="13"/>
        <v>#N/A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5"/>
    </row>
    <row r="814" spans="2:19" x14ac:dyDescent="0.25">
      <c r="B814" s="3" t="e">
        <f t="shared" si="13"/>
        <v>#N/A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5"/>
    </row>
    <row r="815" spans="2:19" x14ac:dyDescent="0.25">
      <c r="B815" s="3" t="e">
        <f t="shared" si="13"/>
        <v>#N/A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5"/>
    </row>
    <row r="816" spans="2:19" x14ac:dyDescent="0.25">
      <c r="B816" s="3" t="e">
        <f t="shared" si="13"/>
        <v>#N/A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5"/>
    </row>
    <row r="817" spans="2:19" x14ac:dyDescent="0.25">
      <c r="B817" s="3" t="e">
        <f t="shared" si="13"/>
        <v>#N/A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5"/>
    </row>
    <row r="818" spans="2:19" x14ac:dyDescent="0.25">
      <c r="B818" s="3" t="e">
        <f t="shared" si="13"/>
        <v>#N/A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5"/>
    </row>
    <row r="819" spans="2:19" x14ac:dyDescent="0.25">
      <c r="B819" s="3" t="e">
        <f t="shared" si="13"/>
        <v>#N/A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5"/>
    </row>
    <row r="820" spans="2:19" x14ac:dyDescent="0.25">
      <c r="B820" s="3" t="e">
        <f t="shared" si="13"/>
        <v>#N/A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5"/>
    </row>
    <row r="821" spans="2:19" x14ac:dyDescent="0.25">
      <c r="B821" s="3" t="e">
        <f t="shared" si="13"/>
        <v>#N/A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5"/>
    </row>
    <row r="822" spans="2:19" x14ac:dyDescent="0.25">
      <c r="B822" s="3" t="e">
        <f t="shared" si="13"/>
        <v>#N/A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5"/>
    </row>
    <row r="823" spans="2:19" x14ac:dyDescent="0.25">
      <c r="B823" s="3" t="e">
        <f t="shared" si="13"/>
        <v>#N/A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5"/>
    </row>
    <row r="824" spans="2:19" x14ac:dyDescent="0.25">
      <c r="B824" s="3" t="e">
        <f t="shared" si="13"/>
        <v>#N/A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5"/>
    </row>
    <row r="825" spans="2:19" x14ac:dyDescent="0.25">
      <c r="B825" s="3" t="e">
        <f t="shared" si="13"/>
        <v>#N/A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5"/>
    </row>
    <row r="826" spans="2:19" x14ac:dyDescent="0.25">
      <c r="B826" s="3" t="e">
        <f t="shared" si="13"/>
        <v>#N/A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5"/>
    </row>
    <row r="827" spans="2:19" x14ac:dyDescent="0.25">
      <c r="B827" s="3" t="e">
        <f t="shared" si="13"/>
        <v>#N/A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5"/>
    </row>
    <row r="828" spans="2:19" x14ac:dyDescent="0.25">
      <c r="B828" s="3" t="e">
        <f t="shared" si="13"/>
        <v>#N/A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5"/>
    </row>
    <row r="829" spans="2:19" x14ac:dyDescent="0.25">
      <c r="B829" s="3" t="e">
        <f t="shared" si="13"/>
        <v>#N/A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5"/>
    </row>
    <row r="830" spans="2:19" x14ac:dyDescent="0.25">
      <c r="B830" s="3" t="e">
        <f t="shared" si="13"/>
        <v>#N/A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5"/>
    </row>
    <row r="831" spans="2:19" x14ac:dyDescent="0.25">
      <c r="B831" s="3" t="e">
        <f t="shared" si="13"/>
        <v>#N/A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5"/>
    </row>
    <row r="832" spans="2:19" x14ac:dyDescent="0.25">
      <c r="B832" s="3" t="e">
        <f t="shared" si="13"/>
        <v>#N/A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5"/>
    </row>
    <row r="833" spans="2:19" x14ac:dyDescent="0.25">
      <c r="B833" s="3" t="e">
        <f t="shared" si="13"/>
        <v>#N/A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5"/>
    </row>
    <row r="834" spans="2:19" x14ac:dyDescent="0.25">
      <c r="B834" s="3" t="e">
        <f t="shared" si="13"/>
        <v>#N/A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5"/>
    </row>
    <row r="835" spans="2:19" x14ac:dyDescent="0.25">
      <c r="B835" s="3" t="e">
        <f t="shared" si="13"/>
        <v>#N/A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5"/>
    </row>
    <row r="836" spans="2:19" x14ac:dyDescent="0.25">
      <c r="B836" s="3" t="e">
        <f t="shared" si="13"/>
        <v>#N/A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5"/>
    </row>
    <row r="837" spans="2:19" x14ac:dyDescent="0.25">
      <c r="B837" s="3" t="e">
        <f t="shared" si="13"/>
        <v>#N/A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5"/>
    </row>
    <row r="838" spans="2:19" x14ac:dyDescent="0.25">
      <c r="B838" s="3" t="e">
        <f t="shared" ref="B838:B883" si="14">IF(ISNUMBER(D838),D838-D837, NA())</f>
        <v>#N/A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5"/>
    </row>
    <row r="839" spans="2:19" x14ac:dyDescent="0.25">
      <c r="B839" s="3" t="e">
        <f t="shared" si="14"/>
        <v>#N/A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5"/>
    </row>
    <row r="840" spans="2:19" x14ac:dyDescent="0.25">
      <c r="B840" s="3" t="e">
        <f t="shared" si="14"/>
        <v>#N/A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5"/>
    </row>
    <row r="841" spans="2:19" x14ac:dyDescent="0.25">
      <c r="B841" s="3" t="e">
        <f t="shared" si="14"/>
        <v>#N/A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5"/>
    </row>
    <row r="842" spans="2:19" x14ac:dyDescent="0.25">
      <c r="B842" s="3" t="e">
        <f t="shared" si="14"/>
        <v>#N/A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5"/>
    </row>
    <row r="843" spans="2:19" x14ac:dyDescent="0.25">
      <c r="B843" s="3" t="e">
        <f t="shared" si="14"/>
        <v>#N/A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5"/>
    </row>
    <row r="844" spans="2:19" x14ac:dyDescent="0.25">
      <c r="B844" s="3" t="e">
        <f t="shared" si="14"/>
        <v>#N/A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5"/>
    </row>
    <row r="845" spans="2:19" x14ac:dyDescent="0.25">
      <c r="B845" s="3" t="e">
        <f t="shared" si="14"/>
        <v>#N/A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5"/>
    </row>
    <row r="846" spans="2:19" x14ac:dyDescent="0.25">
      <c r="B846" s="3" t="e">
        <f t="shared" si="14"/>
        <v>#N/A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5"/>
    </row>
    <row r="847" spans="2:19" x14ac:dyDescent="0.25">
      <c r="B847" s="3" t="e">
        <f t="shared" si="14"/>
        <v>#N/A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5"/>
    </row>
    <row r="848" spans="2:19" x14ac:dyDescent="0.25">
      <c r="B848" s="3" t="e">
        <f t="shared" si="14"/>
        <v>#N/A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5"/>
    </row>
    <row r="849" spans="2:19" x14ac:dyDescent="0.25">
      <c r="B849" s="3" t="e">
        <f t="shared" si="14"/>
        <v>#N/A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5"/>
    </row>
    <row r="850" spans="2:19" x14ac:dyDescent="0.25">
      <c r="B850" s="3" t="e">
        <f t="shared" si="14"/>
        <v>#N/A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5"/>
    </row>
    <row r="851" spans="2:19" x14ac:dyDescent="0.25">
      <c r="B851" s="3" t="e">
        <f t="shared" si="14"/>
        <v>#N/A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5"/>
    </row>
    <row r="852" spans="2:19" x14ac:dyDescent="0.25">
      <c r="B852" s="3" t="e">
        <f t="shared" si="14"/>
        <v>#N/A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5"/>
    </row>
    <row r="853" spans="2:19" x14ac:dyDescent="0.25">
      <c r="B853" s="3" t="e">
        <f t="shared" si="14"/>
        <v>#N/A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5"/>
    </row>
    <row r="854" spans="2:19" x14ac:dyDescent="0.25">
      <c r="B854" s="3" t="e">
        <f t="shared" si="14"/>
        <v>#N/A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5"/>
    </row>
    <row r="855" spans="2:19" x14ac:dyDescent="0.25">
      <c r="B855" s="3" t="e">
        <f t="shared" si="14"/>
        <v>#N/A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5"/>
    </row>
    <row r="856" spans="2:19" x14ac:dyDescent="0.25">
      <c r="B856" s="3" t="e">
        <f t="shared" si="14"/>
        <v>#N/A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5"/>
    </row>
    <row r="857" spans="2:19" x14ac:dyDescent="0.25">
      <c r="B857" s="3" t="e">
        <f t="shared" si="14"/>
        <v>#N/A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5"/>
    </row>
    <row r="858" spans="2:19" x14ac:dyDescent="0.25">
      <c r="B858" s="3" t="e">
        <f t="shared" si="14"/>
        <v>#N/A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5"/>
    </row>
    <row r="859" spans="2:19" x14ac:dyDescent="0.25">
      <c r="B859" s="3" t="e">
        <f t="shared" si="14"/>
        <v>#N/A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5"/>
    </row>
    <row r="860" spans="2:19" x14ac:dyDescent="0.25">
      <c r="B860" s="3" t="e">
        <f t="shared" si="14"/>
        <v>#N/A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5"/>
    </row>
    <row r="861" spans="2:19" x14ac:dyDescent="0.25">
      <c r="B861" s="3" t="e">
        <f t="shared" si="14"/>
        <v>#N/A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5"/>
    </row>
    <row r="862" spans="2:19" x14ac:dyDescent="0.25">
      <c r="B862" s="3" t="e">
        <f t="shared" si="14"/>
        <v>#N/A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5"/>
    </row>
    <row r="863" spans="2:19" x14ac:dyDescent="0.25">
      <c r="B863" s="3" t="e">
        <f t="shared" si="14"/>
        <v>#N/A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5"/>
    </row>
    <row r="864" spans="2:19" x14ac:dyDescent="0.25">
      <c r="B864" s="3" t="e">
        <f t="shared" si="14"/>
        <v>#N/A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5"/>
    </row>
    <row r="865" spans="2:19" x14ac:dyDescent="0.25">
      <c r="B865" s="3" t="e">
        <f t="shared" si="14"/>
        <v>#N/A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5"/>
    </row>
    <row r="866" spans="2:19" x14ac:dyDescent="0.25">
      <c r="B866" s="3" t="e">
        <f t="shared" si="14"/>
        <v>#N/A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5"/>
    </row>
    <row r="867" spans="2:19" x14ac:dyDescent="0.25">
      <c r="B867" s="3" t="e">
        <f t="shared" si="14"/>
        <v>#N/A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5"/>
    </row>
    <row r="868" spans="2:19" x14ac:dyDescent="0.25">
      <c r="B868" s="3" t="e">
        <f t="shared" si="14"/>
        <v>#N/A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5"/>
    </row>
    <row r="869" spans="2:19" x14ac:dyDescent="0.25">
      <c r="B869" s="3" t="e">
        <f t="shared" si="14"/>
        <v>#N/A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5"/>
    </row>
    <row r="870" spans="2:19" x14ac:dyDescent="0.25">
      <c r="B870" s="3" t="e">
        <f t="shared" si="14"/>
        <v>#N/A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5"/>
    </row>
    <row r="871" spans="2:19" x14ac:dyDescent="0.25">
      <c r="B871" s="3" t="e">
        <f t="shared" si="14"/>
        <v>#N/A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5"/>
    </row>
    <row r="872" spans="2:19" x14ac:dyDescent="0.25">
      <c r="B872" s="3" t="e">
        <f t="shared" si="14"/>
        <v>#N/A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5"/>
    </row>
    <row r="873" spans="2:19" x14ac:dyDescent="0.25">
      <c r="B873" s="3" t="e">
        <f t="shared" si="14"/>
        <v>#N/A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5"/>
    </row>
    <row r="874" spans="2:19" x14ac:dyDescent="0.25">
      <c r="B874" s="3" t="e">
        <f t="shared" si="14"/>
        <v>#N/A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5"/>
    </row>
    <row r="875" spans="2:19" x14ac:dyDescent="0.25">
      <c r="B875" s="3" t="e">
        <f t="shared" si="14"/>
        <v>#N/A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5"/>
    </row>
    <row r="876" spans="2:19" x14ac:dyDescent="0.25">
      <c r="B876" s="3" t="e">
        <f t="shared" si="14"/>
        <v>#N/A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5"/>
    </row>
    <row r="877" spans="2:19" x14ac:dyDescent="0.25">
      <c r="B877" s="3" t="e">
        <f t="shared" si="14"/>
        <v>#N/A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5"/>
    </row>
    <row r="878" spans="2:19" x14ac:dyDescent="0.25">
      <c r="B878" s="3" t="e">
        <f t="shared" si="14"/>
        <v>#N/A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5"/>
    </row>
    <row r="879" spans="2:19" x14ac:dyDescent="0.25">
      <c r="B879" s="3" t="e">
        <f t="shared" si="14"/>
        <v>#N/A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5"/>
    </row>
    <row r="880" spans="2:19" x14ac:dyDescent="0.25">
      <c r="B880" s="3" t="e">
        <f t="shared" si="14"/>
        <v>#N/A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5"/>
    </row>
    <row r="881" spans="2:19" x14ac:dyDescent="0.25">
      <c r="B881" s="3" t="e">
        <f t="shared" si="14"/>
        <v>#N/A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5"/>
    </row>
    <row r="882" spans="2:19" x14ac:dyDescent="0.25">
      <c r="B882" s="3" t="e">
        <f t="shared" si="14"/>
        <v>#N/A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5"/>
    </row>
    <row r="883" spans="2:19" ht="15.75" thickBot="1" x14ac:dyDescent="0.3">
      <c r="B883" s="17" t="e">
        <f t="shared" si="14"/>
        <v>#N/A</v>
      </c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6"/>
    </row>
  </sheetData>
  <sheetProtection selectLockedCells="1"/>
  <mergeCells count="2">
    <mergeCell ref="B2:S2"/>
    <mergeCell ref="AB2:AL4"/>
  </mergeCells>
  <phoneticPr fontId="1" type="noConversion"/>
  <conditionalFormatting sqref="B3:B1048576">
    <cfRule type="colorScale" priority="18">
      <colorScale>
        <cfvo type="num" val="-48"/>
        <cfvo type="num" val="0"/>
        <cfvo type="num" val="48"/>
        <color rgb="FFF8696B"/>
        <color theme="9" tint="0.79998168889431442"/>
        <color rgb="FF63BE7B"/>
      </colorScale>
    </cfRule>
  </conditionalFormatting>
  <conditionalFormatting sqref="D5:D1000">
    <cfRule type="containsBlanks" dxfId="3" priority="2">
      <formula>LEN(TRIM(D5))=0</formula>
    </cfRule>
    <cfRule type="cellIs" dxfId="2" priority="3" operator="greaterThan">
      <formula>D4</formula>
    </cfRule>
    <cfRule type="cellIs" dxfId="1" priority="4" operator="lessThan">
      <formula>D4</formula>
    </cfRule>
    <cfRule type="cellIs" dxfId="0" priority="9" operator="equal">
      <formula>D4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importData">
                <anchor moveWithCells="1">
                  <from>
                    <xdr:col>19</xdr:col>
                    <xdr:colOff>19050</xdr:colOff>
                    <xdr:row>0</xdr:row>
                    <xdr:rowOff>190500</xdr:rowOff>
                  </from>
                  <to>
                    <xdr:col>23</xdr:col>
                    <xdr:colOff>847725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removeEntry">
                <anchor moveWithCells="1" sizeWithCells="1">
                  <from>
                    <xdr:col>23</xdr:col>
                    <xdr:colOff>866775</xdr:colOff>
                    <xdr:row>1</xdr:row>
                    <xdr:rowOff>542925</xdr:rowOff>
                  </from>
                  <to>
                    <xdr:col>27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openForm">
                <anchor moveWithCells="1" sizeWithCells="1">
                  <from>
                    <xdr:col>23</xdr:col>
                    <xdr:colOff>866775</xdr:colOff>
                    <xdr:row>1</xdr:row>
                    <xdr:rowOff>0</xdr:rowOff>
                  </from>
                  <to>
                    <xdr:col>26</xdr:col>
                    <xdr:colOff>1019175</xdr:colOff>
                    <xdr:row>1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B3AAF-FD2A-4C74-8518-3FA371DACB0C}">
  <sheetPr codeName="Sheet3"/>
  <dimension ref="A1"/>
  <sheetViews>
    <sheetView showGridLines="0" showRowColHeaders="0" topLeftCell="A4" zoomScaleNormal="100" workbookViewId="0">
      <selection activeCell="A41" sqref="A41"/>
    </sheetView>
  </sheetViews>
  <sheetFormatPr defaultRowHeight="15" x14ac:dyDescent="0.25"/>
  <sheetData/>
  <sheetProtection algorithmName="SHA-512" hashValue="pXPtBSYvgKTKFJrYTgG6eXpAf7XwMaQW5iODcb4YRLmNVblKqVL00w4YjyFJhO/3cbXf96UfXN+ghEmzVO1onQ==" saltValue="a4r7lDp9xhq4K81jJ/cmFQ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macro="[0]!Diamond">
                <anchor>
                  <from>
                    <xdr:col>0</xdr:col>
                    <xdr:colOff>66675</xdr:colOff>
                    <xdr:row>12</xdr:row>
                    <xdr:rowOff>142875</xdr:rowOff>
                  </from>
                  <to>
                    <xdr:col>3</xdr:col>
                    <xdr:colOff>76200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Platinum">
                <anchor>
                  <from>
                    <xdr:col>0</xdr:col>
                    <xdr:colOff>66675</xdr:colOff>
                    <xdr:row>14</xdr:row>
                    <xdr:rowOff>57150</xdr:rowOff>
                  </from>
                  <to>
                    <xdr:col>3</xdr:col>
                    <xdr:colOff>76200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 macro="[0]!Gold">
                <anchor>
                  <from>
                    <xdr:col>0</xdr:col>
                    <xdr:colOff>66675</xdr:colOff>
                    <xdr:row>15</xdr:row>
                    <xdr:rowOff>152400</xdr:rowOff>
                  </from>
                  <to>
                    <xdr:col>3</xdr:col>
                    <xdr:colOff>76200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ion Button 4">
              <controlPr defaultSize="0" autoFill="0" autoLine="0" autoPict="0" macro="[0]!Silver">
                <anchor>
                  <from>
                    <xdr:col>0</xdr:col>
                    <xdr:colOff>66675</xdr:colOff>
                    <xdr:row>17</xdr:row>
                    <xdr:rowOff>47625</xdr:rowOff>
                  </from>
                  <to>
                    <xdr:col>3</xdr:col>
                    <xdr:colOff>76200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Option Button 5">
              <controlPr defaultSize="0" autoFill="0" autoLine="0" autoPict="0" macro="[0]!Bronze">
                <anchor>
                  <from>
                    <xdr:col>0</xdr:col>
                    <xdr:colOff>66675</xdr:colOff>
                    <xdr:row>18</xdr:row>
                    <xdr:rowOff>123825</xdr:rowOff>
                  </from>
                  <to>
                    <xdr:col>3</xdr:col>
                    <xdr:colOff>76200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Option Button 6">
              <controlPr defaultSize="0" autoFill="0" autoLine="0" autoPict="0" macro="[0]!Masters">
                <anchor moveWithCells="1">
                  <from>
                    <xdr:col>0</xdr:col>
                    <xdr:colOff>66675</xdr:colOff>
                    <xdr:row>11</xdr:row>
                    <xdr:rowOff>47625</xdr:rowOff>
                  </from>
                  <to>
                    <xdr:col>3</xdr:col>
                    <xdr:colOff>76200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newDay">
                <anchor moveWithCells="1" sizeWithCells="1">
                  <from>
                    <xdr:col>0</xdr:col>
                    <xdr:colOff>95250</xdr:colOff>
                    <xdr:row>3</xdr:row>
                    <xdr:rowOff>57150</xdr:rowOff>
                  </from>
                  <to>
                    <xdr:col>3</xdr:col>
                    <xdr:colOff>133350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undoNewDay">
                <anchor moveWithCells="1" sizeWithCells="1">
                  <from>
                    <xdr:col>0</xdr:col>
                    <xdr:colOff>104775</xdr:colOff>
                    <xdr:row>6</xdr:row>
                    <xdr:rowOff>66675</xdr:rowOff>
                  </from>
                  <to>
                    <xdr:col>1</xdr:col>
                    <xdr:colOff>438150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7BCB-3E05-43BE-BA19-3D43F11C31F6}">
  <sheetPr codeName="Sheet2"/>
  <dimension ref="A1:Z310"/>
  <sheetViews>
    <sheetView showGridLines="0" showRowColHeaders="0" zoomScaleNormal="100" workbookViewId="0">
      <selection activeCell="Y5" sqref="Y5"/>
    </sheetView>
  </sheetViews>
  <sheetFormatPr defaultRowHeight="15" x14ac:dyDescent="0.25"/>
  <cols>
    <col min="1" max="1" width="18.42578125" style="1" bestFit="1" customWidth="1"/>
    <col min="2" max="11" width="9.140625" style="1"/>
    <col min="12" max="12" width="10.7109375" style="1" bestFit="1" customWidth="1"/>
    <col min="13" max="13" width="9.7109375" style="1" bestFit="1" customWidth="1"/>
    <col min="14" max="14" width="9.140625" style="1"/>
    <col min="15" max="15" width="6.85546875" style="1" bestFit="1" customWidth="1"/>
    <col min="16" max="16" width="9.140625" style="1"/>
    <col min="17" max="17" width="10.7109375" style="1" bestFit="1" customWidth="1"/>
    <col min="18" max="26" width="9.140625" style="1"/>
  </cols>
  <sheetData>
    <row r="1" spans="1:25" x14ac:dyDescent="0.25">
      <c r="A1" s="15"/>
      <c r="G1" s="1" t="s">
        <v>9</v>
      </c>
      <c r="J1" s="1" t="s">
        <v>17</v>
      </c>
      <c r="K1" s="1" t="e" cm="1">
        <f t="array" aca="1" ref="K1" ca="1">INDEX(RP, COUNT(RP))</f>
        <v>#REF!</v>
      </c>
      <c r="Q1" s="1" t="s">
        <v>8</v>
      </c>
      <c r="W1" s="1" t="s">
        <v>13</v>
      </c>
    </row>
    <row r="2" spans="1:25" x14ac:dyDescent="0.25">
      <c r="G2" s="1" t="s">
        <v>12</v>
      </c>
      <c r="H2" s="1" t="e">
        <f ca="1">SUM(MyDamage)/COUNT(MyDamage)</f>
        <v>#REF!</v>
      </c>
      <c r="J2" s="1" t="e">
        <f ca="1">IF(K2&lt;0, 0, IF(_xlfn.FLOOR.MATH(K2/500)+1&gt;=4, 24, 12+3*(_xlfn.FLOOR.MATH(K2/500)+1)))</f>
        <v>#REF!</v>
      </c>
      <c r="K2" s="1" t="e">
        <f ca="1">$K$1-1000</f>
        <v>#REF!</v>
      </c>
      <c r="O2" s="15"/>
      <c r="Q2" s="1">
        <v>1</v>
      </c>
      <c r="R2" s="1">
        <v>0</v>
      </c>
      <c r="W2" s="1" t="s">
        <v>14</v>
      </c>
      <c r="X2" s="1" t="s">
        <v>15</v>
      </c>
      <c r="Y2" s="1" t="s">
        <v>16</v>
      </c>
    </row>
    <row r="3" spans="1:25" x14ac:dyDescent="0.25">
      <c r="G3" s="1" t="s">
        <v>10</v>
      </c>
      <c r="H3" s="1" t="e">
        <f ca="1">SUM(Player1Damage)/COUNT(Player1Damage)</f>
        <v>#REF!</v>
      </c>
      <c r="J3" s="1" t="e">
        <f ca="1">IF(K3&lt;0, 0, IF(_xlfn.FLOOR.MATH(K3/600)+1&gt;=4, 12, 3*(_xlfn.FLOOR.MATH(K3/600)+1)))</f>
        <v>#REF!</v>
      </c>
      <c r="K3" s="1" t="e">
        <f ca="1">$K$1-3000</f>
        <v>#REF!</v>
      </c>
      <c r="O3" s="15"/>
      <c r="Q3" s="1">
        <v>1</v>
      </c>
      <c r="R3" s="1">
        <v>10000</v>
      </c>
      <c r="W3" s="1" t="e">
        <f>IF(NOT(ISBLANK(Data!H5)), Data!H5+Data!I5, NA())</f>
        <v>#N/A</v>
      </c>
      <c r="X3" s="1" t="e">
        <f>IF(NOT(ISBLANK(Data!M5)), Data!M5+Data!N5, NA())</f>
        <v>#N/A</v>
      </c>
      <c r="Y3" s="1" t="e">
        <f>IF(NOT(ISBLANK(Data!Q5)), Data!Q5+Data!R5, NA())</f>
        <v>#N/A</v>
      </c>
    </row>
    <row r="4" spans="1:25" x14ac:dyDescent="0.25">
      <c r="G4" s="1" t="s">
        <v>11</v>
      </c>
      <c r="H4" s="1" t="e">
        <f ca="1">SUM(Player2Damage)/COUNT(Player2Damage)</f>
        <v>#REF!</v>
      </c>
      <c r="J4" s="1" t="e">
        <f ca="1">IF(K4&lt;0, 0, IF(_xlfn.FLOOR.MATH(K4/700)+1&gt;=4, 12, 3*(_xlfn.FLOOR.MATH(K4/700)+1)))</f>
        <v>#REF!</v>
      </c>
      <c r="K4" s="1" t="e">
        <f ca="1">$K$1-5400</f>
        <v>#REF!</v>
      </c>
      <c r="O4" s="15"/>
      <c r="R4" s="1">
        <f>IF(R3=10000, 10000, 0)</f>
        <v>10000</v>
      </c>
      <c r="W4" s="1" t="e">
        <f>IF(NOT(ISBLANK(Data!H6)), Data!H6+Data!I6, NA())</f>
        <v>#N/A</v>
      </c>
      <c r="X4" s="1" t="e">
        <f>IF(NOT(ISBLANK(Data!M6)), Data!M6+Data!N6, NA())</f>
        <v>#N/A</v>
      </c>
      <c r="Y4" s="1" t="e">
        <f>IF(NOT(ISBLANK(Data!Q6)), Data!Q6+Data!R6, NA())</f>
        <v>#N/A</v>
      </c>
    </row>
    <row r="5" spans="1:25" x14ac:dyDescent="0.25">
      <c r="J5" s="1" t="e">
        <f ca="1">IF(K5&lt;0, 0, IF(_xlfn.FLOOR.MATH(K5/800)+1&gt;=4, 12, 3*(_xlfn.FLOOR.MATH(K5/800)+1)))</f>
        <v>#REF!</v>
      </c>
      <c r="K5" s="1" t="e">
        <f ca="1">$K$1-8200</f>
        <v>#REF!</v>
      </c>
      <c r="O5" s="15"/>
      <c r="R5" s="1">
        <f>IF(R4=10000, 0, 10000)</f>
        <v>0</v>
      </c>
      <c r="W5" s="1" t="e">
        <f>IF(NOT(ISBLANK(Data!H7)), Data!H7+Data!I7, NA())</f>
        <v>#N/A</v>
      </c>
      <c r="X5" s="1" t="e">
        <f>IF(NOT(ISBLANK(Data!M7)), Data!M7+Data!N7, NA())</f>
        <v>#N/A</v>
      </c>
      <c r="Y5" s="1" t="e">
        <f>IF(NOT(ISBLANK(Data!Q7)), Data!Q7+Data!R7, NA())</f>
        <v>#N/A</v>
      </c>
    </row>
    <row r="6" spans="1:25" x14ac:dyDescent="0.25">
      <c r="J6" s="1" t="e">
        <f ca="1">IF(K6&lt;0, 0, IF(_xlfn.FLOOR.MATH(K6/900)+1&gt;=4, 12, 3*(_xlfn.FLOOR.MATH(K6/900)+1)))</f>
        <v>#REF!</v>
      </c>
      <c r="K6" s="1" t="e">
        <f ca="1">$K$1-11400</f>
        <v>#REF!</v>
      </c>
      <c r="O6" s="15"/>
      <c r="R6" s="1">
        <f>IF(R5=10000, 10000, 0)</f>
        <v>0</v>
      </c>
      <c r="W6" s="1" t="e">
        <f>IF(NOT(ISBLANK(Data!H8)), Data!H8+Data!I8, NA())</f>
        <v>#N/A</v>
      </c>
      <c r="X6" s="1" t="e">
        <f>IF(NOT(ISBLANK(Data!M8)), Data!M8+Data!N8, NA())</f>
        <v>#N/A</v>
      </c>
      <c r="Y6" s="1" t="e">
        <f>IF(NOT(ISBLANK(Data!Q8)), Data!Q8+Data!R8, NA())</f>
        <v>#N/A</v>
      </c>
    </row>
    <row r="7" spans="1:25" x14ac:dyDescent="0.25">
      <c r="J7" s="1" t="e">
        <f ca="1">IF(K7&lt;0, 0, IF(_xlfn.FLOOR.MATH(K7/1000)+1&gt;=25, 3+100, 3+5*_xlfn.FLOOR.MATH(K7/1000)))</f>
        <v>#REF!</v>
      </c>
      <c r="K7" s="1" t="e">
        <f ca="1">$K$1-15000</f>
        <v>#REF!</v>
      </c>
      <c r="R7" s="1">
        <f>IF(R6=10000, 0, 10000)</f>
        <v>10000</v>
      </c>
      <c r="W7" s="1" t="e">
        <f>IF(NOT(ISBLANK(Data!H9)), Data!H9+Data!I9, NA())</f>
        <v>#N/A</v>
      </c>
      <c r="X7" s="1" t="e">
        <f>IF(NOT(ISBLANK(Data!M9)), Data!M9+Data!N9, NA())</f>
        <v>#N/A</v>
      </c>
      <c r="Y7" s="1" t="e">
        <f>IF(NOT(ISBLANK(Data!Q9)), Data!Q9+Data!R9, NA())</f>
        <v>#N/A</v>
      </c>
    </row>
    <row r="8" spans="1:25" x14ac:dyDescent="0.25">
      <c r="I8" s="1" t="s">
        <v>18</v>
      </c>
      <c r="J8" s="1" t="e">
        <f ca="1">SUM(J2:J7)</f>
        <v>#REF!</v>
      </c>
      <c r="R8" s="1">
        <f>IF(R7=10000, 10000, 0)</f>
        <v>10000</v>
      </c>
      <c r="W8" s="1" t="e">
        <f>IF(NOT(ISBLANK(Data!H10)), Data!H10+Data!I10, NA())</f>
        <v>#N/A</v>
      </c>
      <c r="X8" s="1" t="e">
        <f>IF(NOT(ISBLANK(Data!M10)), Data!M10+Data!N10, NA())</f>
        <v>#N/A</v>
      </c>
      <c r="Y8" s="1" t="e">
        <f>IF(NOT(ISBLANK(Data!Q10)), Data!Q10+Data!R10, NA())</f>
        <v>#N/A</v>
      </c>
    </row>
    <row r="9" spans="1:25" x14ac:dyDescent="0.25">
      <c r="R9" s="1">
        <f>IF(R8=10000, 0, 10000)</f>
        <v>0</v>
      </c>
      <c r="W9" s="1" t="e">
        <f>IF(NOT(ISBLANK(Data!H11)), Data!H11+Data!I11, NA())</f>
        <v>#N/A</v>
      </c>
      <c r="X9" s="1" t="e">
        <f>IF(NOT(ISBLANK(Data!M11)), Data!M11+Data!N11, NA())</f>
        <v>#N/A</v>
      </c>
      <c r="Y9" s="1" t="e">
        <f>IF(NOT(ISBLANK(Data!Q11)), Data!Q11+Data!R11, NA())</f>
        <v>#N/A</v>
      </c>
    </row>
    <row r="10" spans="1:25" x14ac:dyDescent="0.25">
      <c r="R10" s="1">
        <f>IF(R9=10000, 10000, 0)</f>
        <v>0</v>
      </c>
      <c r="W10" s="1" t="e">
        <f>IF(NOT(ISBLANK(Data!H12)), Data!H12+Data!I12, NA())</f>
        <v>#N/A</v>
      </c>
      <c r="X10" s="1" t="e">
        <f>IF(NOT(ISBLANK(Data!M12)), Data!M12+Data!N12, NA())</f>
        <v>#N/A</v>
      </c>
      <c r="Y10" s="1" t="e">
        <f>IF(NOT(ISBLANK(Data!Q12)), Data!Q12+Data!R12, NA())</f>
        <v>#N/A</v>
      </c>
    </row>
    <row r="11" spans="1:25" x14ac:dyDescent="0.25">
      <c r="R11" s="1">
        <f>IF(R10=10000, 0, 10000)</f>
        <v>10000</v>
      </c>
      <c r="W11" s="1" t="e">
        <f>IF(NOT(ISBLANK(Data!H13)), Data!H13+Data!I13, NA())</f>
        <v>#N/A</v>
      </c>
      <c r="X11" s="1" t="e">
        <f>IF(NOT(ISBLANK(Data!M13)), Data!M13+Data!N13, NA())</f>
        <v>#N/A</v>
      </c>
      <c r="Y11" s="1" t="e">
        <f>IF(NOT(ISBLANK(Data!Q13)), Data!Q13+Data!R13, NA())</f>
        <v>#N/A</v>
      </c>
    </row>
    <row r="12" spans="1:25" x14ac:dyDescent="0.25">
      <c r="R12" s="1">
        <f>IF(R11=10000, 10000, 0)</f>
        <v>10000</v>
      </c>
      <c r="W12" s="1" t="e">
        <f>IF(NOT(ISBLANK(Data!H14)), Data!H14+Data!I14, NA())</f>
        <v>#N/A</v>
      </c>
      <c r="X12" s="1" t="e">
        <f>IF(NOT(ISBLANK(Data!M14)), Data!M14+Data!N14, NA())</f>
        <v>#N/A</v>
      </c>
      <c r="Y12" s="1" t="e">
        <f>IF(NOT(ISBLANK(Data!Q14)), Data!Q14+Data!R14, NA())</f>
        <v>#N/A</v>
      </c>
    </row>
    <row r="13" spans="1:25" x14ac:dyDescent="0.25">
      <c r="R13" s="1">
        <f>IF(R12=10000, 0, 10000)</f>
        <v>0</v>
      </c>
      <c r="W13" s="1" t="e">
        <f>IF(NOT(ISBLANK(Data!H15)), Data!H15+Data!I15, NA())</f>
        <v>#N/A</v>
      </c>
      <c r="X13" s="1" t="e">
        <f>IF(NOT(ISBLANK(Data!M15)), Data!M15+Data!N15, NA())</f>
        <v>#N/A</v>
      </c>
      <c r="Y13" s="1" t="e">
        <f>IF(NOT(ISBLANK(Data!Q15)), Data!Q15+Data!R15, NA())</f>
        <v>#N/A</v>
      </c>
    </row>
    <row r="14" spans="1:25" x14ac:dyDescent="0.25">
      <c r="R14" s="1">
        <f>IF(R13=10000, 10000, 0)</f>
        <v>0</v>
      </c>
      <c r="W14" s="1" t="e">
        <f>IF(NOT(ISBLANK(Data!H16)), Data!H16+Data!I16, NA())</f>
        <v>#N/A</v>
      </c>
      <c r="X14" s="1" t="e">
        <f>IF(NOT(ISBLANK(Data!M16)), Data!M16+Data!N16, NA())</f>
        <v>#N/A</v>
      </c>
      <c r="Y14" s="1" t="e">
        <f>IF(NOT(ISBLANK(Data!Q16)), Data!Q16+Data!R16, NA())</f>
        <v>#N/A</v>
      </c>
    </row>
    <row r="15" spans="1:25" x14ac:dyDescent="0.25">
      <c r="R15" s="1">
        <f>IF(R14=10000, 0, 10000)</f>
        <v>10000</v>
      </c>
      <c r="W15" s="1" t="e">
        <f>IF(NOT(ISBLANK(Data!H17)), Data!H17+Data!I17, NA())</f>
        <v>#N/A</v>
      </c>
      <c r="X15" s="1" t="e">
        <f>IF(NOT(ISBLANK(Data!M17)), Data!M17+Data!N17, NA())</f>
        <v>#N/A</v>
      </c>
      <c r="Y15" s="1" t="e">
        <f>IF(NOT(ISBLANK(Data!Q17)), Data!Q17+Data!R17, NA())</f>
        <v>#N/A</v>
      </c>
    </row>
    <row r="16" spans="1:25" x14ac:dyDescent="0.25">
      <c r="R16" s="1">
        <f>IF(R15=10000, 10000, 0)</f>
        <v>10000</v>
      </c>
      <c r="W16" s="1" t="e">
        <f>IF(NOT(ISBLANK(Data!H18)), Data!H18+Data!I18, NA())</f>
        <v>#N/A</v>
      </c>
      <c r="X16" s="1" t="e">
        <f>IF(NOT(ISBLANK(Data!M18)), Data!M18+Data!N18, NA())</f>
        <v>#N/A</v>
      </c>
      <c r="Y16" s="1" t="e">
        <f>IF(NOT(ISBLANK(Data!Q18)), Data!Q18+Data!R18, NA())</f>
        <v>#N/A</v>
      </c>
    </row>
    <row r="17" spans="18:25" x14ac:dyDescent="0.25">
      <c r="R17" s="1">
        <f>IF(R16=10000, 0, 10000)</f>
        <v>0</v>
      </c>
      <c r="W17" s="1" t="e">
        <f>IF(NOT(ISBLANK(Data!H19)), Data!H19+Data!I19, NA())</f>
        <v>#N/A</v>
      </c>
      <c r="X17" s="1" t="e">
        <f>IF(NOT(ISBLANK(Data!M19)), Data!M19+Data!N19, NA())</f>
        <v>#N/A</v>
      </c>
      <c r="Y17" s="1" t="e">
        <f>IF(NOT(ISBLANK(Data!Q19)), Data!Q19+Data!R19, NA())</f>
        <v>#N/A</v>
      </c>
    </row>
    <row r="18" spans="18:25" x14ac:dyDescent="0.25">
      <c r="R18" s="1">
        <f>IF(R17=10000, 10000, 0)</f>
        <v>0</v>
      </c>
      <c r="W18" s="1" t="e">
        <f>IF(NOT(ISBLANK(Data!H20)), Data!H20+Data!I20, NA())</f>
        <v>#N/A</v>
      </c>
      <c r="X18" s="1" t="e">
        <f>IF(NOT(ISBLANK(Data!M20)), Data!M20+Data!N20, NA())</f>
        <v>#N/A</v>
      </c>
      <c r="Y18" s="1" t="e">
        <f>IF(NOT(ISBLANK(Data!Q20)), Data!Q20+Data!R20, NA())</f>
        <v>#N/A</v>
      </c>
    </row>
    <row r="19" spans="18:25" x14ac:dyDescent="0.25">
      <c r="R19" s="1">
        <f>IF(R18=10000, 0, 10000)</f>
        <v>10000</v>
      </c>
      <c r="W19" s="1" t="e">
        <f>IF(NOT(ISBLANK(Data!H21)), Data!H21+Data!I21, NA())</f>
        <v>#N/A</v>
      </c>
      <c r="X19" s="1" t="e">
        <f>IF(NOT(ISBLANK(Data!M21)), Data!M21+Data!N21, NA())</f>
        <v>#N/A</v>
      </c>
      <c r="Y19" s="1" t="e">
        <f>IF(NOT(ISBLANK(Data!Q21)), Data!Q21+Data!R21, NA())</f>
        <v>#N/A</v>
      </c>
    </row>
    <row r="20" spans="18:25" x14ac:dyDescent="0.25">
      <c r="R20" s="1">
        <f>IF(R19=10000, 10000, 0)</f>
        <v>10000</v>
      </c>
      <c r="W20" s="1" t="e">
        <f>IF(NOT(ISBLANK(Data!H22)), Data!H22+Data!I22, NA())</f>
        <v>#N/A</v>
      </c>
      <c r="X20" s="1" t="e">
        <f>IF(NOT(ISBLANK(Data!M22)), Data!M22+Data!N22, NA())</f>
        <v>#N/A</v>
      </c>
      <c r="Y20" s="1" t="e">
        <f>IF(NOT(ISBLANK(Data!Q22)), Data!Q22+Data!R22, NA())</f>
        <v>#N/A</v>
      </c>
    </row>
    <row r="21" spans="18:25" x14ac:dyDescent="0.25">
      <c r="R21" s="1">
        <f>IF(R20=10000, 0, 10000)</f>
        <v>0</v>
      </c>
      <c r="W21" s="1" t="e">
        <f>IF(NOT(ISBLANK(Data!H23)), Data!H23+Data!I23, NA())</f>
        <v>#N/A</v>
      </c>
      <c r="X21" s="1" t="e">
        <f>IF(NOT(ISBLANK(Data!M23)), Data!M23+Data!N23, NA())</f>
        <v>#N/A</v>
      </c>
      <c r="Y21" s="1" t="e">
        <f>IF(NOT(ISBLANK(Data!Q23)), Data!Q23+Data!R23, NA())</f>
        <v>#N/A</v>
      </c>
    </row>
    <row r="22" spans="18:25" x14ac:dyDescent="0.25">
      <c r="R22" s="1">
        <f>IF(R21=10000, 10000, 0)</f>
        <v>0</v>
      </c>
      <c r="W22" s="1" t="e">
        <f>IF(NOT(ISBLANK(Data!H24)), Data!H24+Data!I24, NA())</f>
        <v>#N/A</v>
      </c>
      <c r="X22" s="1" t="e">
        <f>IF(NOT(ISBLANK(Data!M24)), Data!M24+Data!N24, NA())</f>
        <v>#N/A</v>
      </c>
      <c r="Y22" s="1" t="e">
        <f>IF(NOT(ISBLANK(Data!Q24)), Data!Q24+Data!R24, NA())</f>
        <v>#N/A</v>
      </c>
    </row>
    <row r="23" spans="18:25" x14ac:dyDescent="0.25">
      <c r="R23" s="1">
        <f>IF(R22=10000, 0, 10000)</f>
        <v>10000</v>
      </c>
      <c r="W23" s="1" t="e">
        <f>IF(NOT(ISBLANK(Data!H25)), Data!H25+Data!I25, NA())</f>
        <v>#N/A</v>
      </c>
      <c r="X23" s="1" t="e">
        <f>IF(NOT(ISBLANK(Data!M25)), Data!M25+Data!N25, NA())</f>
        <v>#N/A</v>
      </c>
      <c r="Y23" s="1" t="e">
        <f>IF(NOT(ISBLANK(Data!Q25)), Data!Q25+Data!R25, NA())</f>
        <v>#N/A</v>
      </c>
    </row>
    <row r="24" spans="18:25" x14ac:dyDescent="0.25">
      <c r="R24" s="1">
        <f>IF(R23=10000, 10000, 0)</f>
        <v>10000</v>
      </c>
      <c r="W24" s="1" t="e">
        <f>IF(NOT(ISBLANK(Data!H26)), Data!H26+Data!I26, NA())</f>
        <v>#N/A</v>
      </c>
      <c r="X24" s="1" t="e">
        <f>IF(NOT(ISBLANK(Data!M26)), Data!M26+Data!N26, NA())</f>
        <v>#N/A</v>
      </c>
      <c r="Y24" s="1" t="e">
        <f>IF(NOT(ISBLANK(Data!Q26)), Data!Q26+Data!R26, NA())</f>
        <v>#N/A</v>
      </c>
    </row>
    <row r="25" spans="18:25" x14ac:dyDescent="0.25">
      <c r="R25" s="1">
        <f>IF(R24=10000, 0, 10000)</f>
        <v>0</v>
      </c>
      <c r="W25" s="1" t="e">
        <f>IF(NOT(ISBLANK(Data!H27)), Data!H27+Data!I27, NA())</f>
        <v>#N/A</v>
      </c>
      <c r="X25" s="1" t="e">
        <f>IF(NOT(ISBLANK(Data!M27)), Data!M27+Data!N27, NA())</f>
        <v>#N/A</v>
      </c>
      <c r="Y25" s="1" t="e">
        <f>IF(NOT(ISBLANK(Data!Q27)), Data!Q27+Data!R27, NA())</f>
        <v>#N/A</v>
      </c>
    </row>
    <row r="26" spans="18:25" x14ac:dyDescent="0.25">
      <c r="R26" s="1">
        <f>IF(R25=10000, 10000, 0)</f>
        <v>0</v>
      </c>
      <c r="W26" s="1" t="e">
        <f>IF(NOT(ISBLANK(Data!H28)), Data!H28+Data!I28, NA())</f>
        <v>#N/A</v>
      </c>
      <c r="X26" s="1" t="e">
        <f>IF(NOT(ISBLANK(Data!M28)), Data!M28+Data!N28, NA())</f>
        <v>#N/A</v>
      </c>
      <c r="Y26" s="1" t="e">
        <f>IF(NOT(ISBLANK(Data!Q28)), Data!Q28+Data!R28, NA())</f>
        <v>#N/A</v>
      </c>
    </row>
    <row r="27" spans="18:25" x14ac:dyDescent="0.25">
      <c r="R27" s="1">
        <f>IF(R26=10000, 0, 10000)</f>
        <v>10000</v>
      </c>
      <c r="W27" s="1" t="e">
        <f>IF(NOT(ISBLANK(Data!H29)), Data!H29+Data!I29, NA())</f>
        <v>#N/A</v>
      </c>
      <c r="X27" s="1" t="e">
        <f>IF(NOT(ISBLANK(Data!M29)), Data!M29+Data!N29, NA())</f>
        <v>#N/A</v>
      </c>
      <c r="Y27" s="1" t="e">
        <f>IF(NOT(ISBLANK(Data!Q29)), Data!Q29+Data!R29, NA())</f>
        <v>#N/A</v>
      </c>
    </row>
    <row r="28" spans="18:25" x14ac:dyDescent="0.25">
      <c r="R28" s="1">
        <f>IF(R27=10000, 10000, 0)</f>
        <v>10000</v>
      </c>
      <c r="W28" s="1" t="e">
        <f>IF(NOT(ISBLANK(Data!H30)), Data!H30+Data!I30, NA())</f>
        <v>#N/A</v>
      </c>
      <c r="X28" s="1" t="e">
        <f>IF(NOT(ISBLANK(Data!M30)), Data!M30+Data!N30, NA())</f>
        <v>#N/A</v>
      </c>
      <c r="Y28" s="1" t="e">
        <f>IF(NOT(ISBLANK(Data!Q30)), Data!Q30+Data!R30, NA())</f>
        <v>#N/A</v>
      </c>
    </row>
    <row r="29" spans="18:25" x14ac:dyDescent="0.25">
      <c r="R29" s="1">
        <f>IF(R28=10000, 0, 10000)</f>
        <v>0</v>
      </c>
      <c r="W29" s="1" t="e">
        <f>IF(NOT(ISBLANK(Data!H31)), Data!H31+Data!I31, NA())</f>
        <v>#N/A</v>
      </c>
      <c r="X29" s="1" t="e">
        <f>IF(NOT(ISBLANK(Data!M31)), Data!M31+Data!N31, NA())</f>
        <v>#N/A</v>
      </c>
      <c r="Y29" s="1" t="e">
        <f>IF(NOT(ISBLANK(Data!Q31)), Data!Q31+Data!R31, NA())</f>
        <v>#N/A</v>
      </c>
    </row>
    <row r="30" spans="18:25" x14ac:dyDescent="0.25">
      <c r="R30" s="1">
        <f>IF(R29=10000, 10000, 0)</f>
        <v>0</v>
      </c>
      <c r="W30" s="1" t="e">
        <f>IF(NOT(ISBLANK(Data!H32)), Data!H32+Data!I32, NA())</f>
        <v>#N/A</v>
      </c>
      <c r="X30" s="1" t="e">
        <f>IF(NOT(ISBLANK(Data!M32)), Data!M32+Data!N32, NA())</f>
        <v>#N/A</v>
      </c>
      <c r="Y30" s="1" t="e">
        <f>IF(NOT(ISBLANK(Data!Q32)), Data!Q32+Data!R32, NA())</f>
        <v>#N/A</v>
      </c>
    </row>
    <row r="31" spans="18:25" x14ac:dyDescent="0.25">
      <c r="R31" s="1">
        <f>IF(R30=10000, 0, 10000)</f>
        <v>10000</v>
      </c>
      <c r="W31" s="1" t="e">
        <f>IF(NOT(ISBLANK(Data!H33)), Data!H33+Data!I33, NA())</f>
        <v>#N/A</v>
      </c>
      <c r="X31" s="1" t="e">
        <f>IF(NOT(ISBLANK(Data!M33)), Data!M33+Data!N33, NA())</f>
        <v>#N/A</v>
      </c>
      <c r="Y31" s="1" t="e">
        <f>IF(NOT(ISBLANK(Data!Q33)), Data!Q33+Data!R33, NA())</f>
        <v>#N/A</v>
      </c>
    </row>
    <row r="32" spans="18:25" x14ac:dyDescent="0.25">
      <c r="R32" s="1">
        <f>IF(R31=10000, 10000, 0)</f>
        <v>10000</v>
      </c>
      <c r="W32" s="1" t="e">
        <f>IF(NOT(ISBLANK(Data!H34)), Data!H34+Data!I34, NA())</f>
        <v>#N/A</v>
      </c>
      <c r="X32" s="1" t="e">
        <f>IF(NOT(ISBLANK(Data!M34)), Data!M34+Data!N34, NA())</f>
        <v>#N/A</v>
      </c>
      <c r="Y32" s="1" t="e">
        <f>IF(NOT(ISBLANK(Data!Q34)), Data!Q34+Data!R34, NA())</f>
        <v>#N/A</v>
      </c>
    </row>
    <row r="33" spans="18:25" x14ac:dyDescent="0.25">
      <c r="R33" s="1">
        <f>IF(R32=10000, 0, 10000)</f>
        <v>0</v>
      </c>
      <c r="W33" s="1" t="e">
        <f>IF(NOT(ISBLANK(Data!H35)), Data!H35+Data!I35, NA())</f>
        <v>#N/A</v>
      </c>
      <c r="X33" s="1" t="e">
        <f>IF(NOT(ISBLANK(Data!M35)), Data!M35+Data!N35, NA())</f>
        <v>#N/A</v>
      </c>
      <c r="Y33" s="1" t="e">
        <f>IF(NOT(ISBLANK(Data!Q35)), Data!Q35+Data!R35, NA())</f>
        <v>#N/A</v>
      </c>
    </row>
    <row r="34" spans="18:25" x14ac:dyDescent="0.25">
      <c r="R34" s="1">
        <f>IF(R33=10000, 10000, 0)</f>
        <v>0</v>
      </c>
      <c r="W34" s="1" t="e">
        <f>IF(NOT(ISBLANK(Data!H36)), Data!H36+Data!I36, NA())</f>
        <v>#N/A</v>
      </c>
      <c r="X34" s="1" t="e">
        <f>IF(NOT(ISBLANK(Data!M36)), Data!M36+Data!N36, NA())</f>
        <v>#N/A</v>
      </c>
      <c r="Y34" s="1" t="e">
        <f>IF(NOT(ISBLANK(Data!Q36)), Data!Q36+Data!R36, NA())</f>
        <v>#N/A</v>
      </c>
    </row>
    <row r="35" spans="18:25" x14ac:dyDescent="0.25">
      <c r="R35" s="1">
        <f>IF(R34=10000, 0, 10000)</f>
        <v>10000</v>
      </c>
      <c r="W35" s="1" t="e">
        <f>IF(NOT(ISBLANK(Data!H37)), Data!H37+Data!I37, NA())</f>
        <v>#N/A</v>
      </c>
      <c r="X35" s="1" t="e">
        <f>IF(NOT(ISBLANK(Data!M37)), Data!M37+Data!N37, NA())</f>
        <v>#N/A</v>
      </c>
      <c r="Y35" s="1" t="e">
        <f>IF(NOT(ISBLANK(Data!Q37)), Data!Q37+Data!R37, NA())</f>
        <v>#N/A</v>
      </c>
    </row>
    <row r="36" spans="18:25" x14ac:dyDescent="0.25">
      <c r="R36" s="1">
        <f>IF(R35=10000, 10000, 0)</f>
        <v>10000</v>
      </c>
      <c r="W36" s="1" t="e">
        <f>IF(NOT(ISBLANK(Data!H38)), Data!H38+Data!I38, NA())</f>
        <v>#N/A</v>
      </c>
      <c r="X36" s="1" t="e">
        <f>IF(NOT(ISBLANK(Data!M38)), Data!M38+Data!N38, NA())</f>
        <v>#N/A</v>
      </c>
      <c r="Y36" s="1" t="e">
        <f>IF(NOT(ISBLANK(Data!Q38)), Data!Q38+Data!R38, NA())</f>
        <v>#N/A</v>
      </c>
    </row>
    <row r="37" spans="18:25" x14ac:dyDescent="0.25">
      <c r="R37" s="1">
        <f>IF(R36=10000, 0, 10000)</f>
        <v>0</v>
      </c>
      <c r="W37" s="1" t="e">
        <f>IF(NOT(ISBLANK(Data!H39)), Data!H39+Data!I39, NA())</f>
        <v>#N/A</v>
      </c>
      <c r="X37" s="1" t="e">
        <f>IF(NOT(ISBLANK(Data!M39)), Data!M39+Data!N39, NA())</f>
        <v>#N/A</v>
      </c>
      <c r="Y37" s="1" t="e">
        <f>IF(NOT(ISBLANK(Data!Q39)), Data!Q39+Data!R39, NA())</f>
        <v>#N/A</v>
      </c>
    </row>
    <row r="38" spans="18:25" x14ac:dyDescent="0.25">
      <c r="R38" s="1">
        <f t="shared" ref="R38" si="0">IF(R37=10000, 10000, 0)</f>
        <v>0</v>
      </c>
      <c r="W38" s="1" t="e">
        <f>IF(NOT(ISBLANK(Data!H40)), Data!H40+Data!I40, NA())</f>
        <v>#N/A</v>
      </c>
      <c r="X38" s="1" t="e">
        <f>IF(NOT(ISBLANK(Data!M40)), Data!M40+Data!N40, NA())</f>
        <v>#N/A</v>
      </c>
      <c r="Y38" s="1" t="e">
        <f>IF(NOT(ISBLANK(Data!Q40)), Data!Q40+Data!R40, NA())</f>
        <v>#N/A</v>
      </c>
    </row>
    <row r="39" spans="18:25" x14ac:dyDescent="0.25">
      <c r="R39" s="1">
        <f t="shared" ref="R39" si="1">IF(R38=10000, 0, 10000)</f>
        <v>10000</v>
      </c>
      <c r="W39" s="1" t="e">
        <f>IF(NOT(ISBLANK(Data!H41)), Data!H41+Data!I41, NA())</f>
        <v>#N/A</v>
      </c>
      <c r="X39" s="1" t="e">
        <f>IF(NOT(ISBLANK(Data!M41)), Data!M41+Data!N41, NA())</f>
        <v>#N/A</v>
      </c>
      <c r="Y39" s="1" t="e">
        <f>IF(NOT(ISBLANK(Data!Q41)), Data!Q41+Data!R41, NA())</f>
        <v>#N/A</v>
      </c>
    </row>
    <row r="40" spans="18:25" x14ac:dyDescent="0.25">
      <c r="R40" s="1">
        <f t="shared" ref="R40" si="2">IF(R39=10000, 10000, 0)</f>
        <v>10000</v>
      </c>
      <c r="W40" s="1" t="e">
        <f>IF(NOT(ISBLANK(Data!H42)), Data!H42+Data!I42, NA())</f>
        <v>#N/A</v>
      </c>
      <c r="X40" s="1" t="e">
        <f>IF(NOT(ISBLANK(Data!M42)), Data!M42+Data!N42, NA())</f>
        <v>#N/A</v>
      </c>
      <c r="Y40" s="1" t="e">
        <f>IF(NOT(ISBLANK(Data!Q42)), Data!Q42+Data!R42, NA())</f>
        <v>#N/A</v>
      </c>
    </row>
    <row r="41" spans="18:25" x14ac:dyDescent="0.25">
      <c r="R41" s="1">
        <f t="shared" ref="R41" si="3">IF(R40=10000, 0, 10000)</f>
        <v>0</v>
      </c>
      <c r="W41" s="1" t="e">
        <f>IF(NOT(ISBLANK(Data!H43)), Data!H43+Data!I43, NA())</f>
        <v>#N/A</v>
      </c>
      <c r="X41" s="1" t="e">
        <f>IF(NOT(ISBLANK(Data!M43)), Data!M43+Data!N43, NA())</f>
        <v>#N/A</v>
      </c>
      <c r="Y41" s="1" t="e">
        <f>IF(NOT(ISBLANK(Data!Q43)), Data!Q43+Data!R43, NA())</f>
        <v>#N/A</v>
      </c>
    </row>
    <row r="42" spans="18:25" x14ac:dyDescent="0.25">
      <c r="R42" s="1">
        <f t="shared" ref="R42" si="4">IF(R41=10000, 10000, 0)</f>
        <v>0</v>
      </c>
      <c r="W42" s="1" t="e">
        <f>IF(NOT(ISBLANK(Data!H44)), Data!H44+Data!I44, NA())</f>
        <v>#N/A</v>
      </c>
      <c r="X42" s="1" t="e">
        <f>IF(NOT(ISBLANK(Data!M44)), Data!M44+Data!N44, NA())</f>
        <v>#N/A</v>
      </c>
      <c r="Y42" s="1" t="e">
        <f>IF(NOT(ISBLANK(Data!Q44)), Data!Q44+Data!R44, NA())</f>
        <v>#N/A</v>
      </c>
    </row>
    <row r="43" spans="18:25" x14ac:dyDescent="0.25">
      <c r="R43" s="1">
        <f t="shared" ref="R43" si="5">IF(R42=10000, 0, 10000)</f>
        <v>10000</v>
      </c>
      <c r="W43" s="1" t="e">
        <f>IF(NOT(ISBLANK(Data!H45)), Data!H45+Data!I45, NA())</f>
        <v>#N/A</v>
      </c>
      <c r="X43" s="1" t="e">
        <f>IF(NOT(ISBLANK(Data!M45)), Data!M45+Data!N45, NA())</f>
        <v>#N/A</v>
      </c>
      <c r="Y43" s="1" t="e">
        <f>IF(NOT(ISBLANK(Data!Q45)), Data!Q45+Data!R45, NA())</f>
        <v>#N/A</v>
      </c>
    </row>
    <row r="44" spans="18:25" x14ac:dyDescent="0.25">
      <c r="R44" s="1">
        <f t="shared" ref="R44" si="6">IF(R43=10000, 10000, 0)</f>
        <v>10000</v>
      </c>
      <c r="W44" s="1" t="e">
        <f>IF(NOT(ISBLANK(Data!H46)), Data!H46+Data!I46, NA())</f>
        <v>#N/A</v>
      </c>
      <c r="X44" s="1" t="e">
        <f>IF(NOT(ISBLANK(Data!M46)), Data!M46+Data!N46, NA())</f>
        <v>#N/A</v>
      </c>
      <c r="Y44" s="1" t="e">
        <f>IF(NOT(ISBLANK(Data!Q46)), Data!Q46+Data!R46, NA())</f>
        <v>#N/A</v>
      </c>
    </row>
    <row r="45" spans="18:25" x14ac:dyDescent="0.25">
      <c r="R45" s="1">
        <f t="shared" ref="R45" si="7">IF(R44=10000, 0, 10000)</f>
        <v>0</v>
      </c>
      <c r="W45" s="1" t="e">
        <f>IF(NOT(ISBLANK(Data!H47)), Data!H47+Data!I47, NA())</f>
        <v>#N/A</v>
      </c>
      <c r="X45" s="1" t="e">
        <f>IF(NOT(ISBLANK(Data!M47)), Data!M47+Data!N47, NA())</f>
        <v>#N/A</v>
      </c>
      <c r="Y45" s="1" t="e">
        <f>IF(NOT(ISBLANK(Data!Q47)), Data!Q47+Data!R47, NA())</f>
        <v>#N/A</v>
      </c>
    </row>
    <row r="46" spans="18:25" x14ac:dyDescent="0.25">
      <c r="R46" s="1">
        <f t="shared" ref="R46" si="8">IF(R45=10000, 10000, 0)</f>
        <v>0</v>
      </c>
      <c r="W46" s="1" t="e">
        <f>IF(NOT(ISBLANK(Data!H48)), Data!H48+Data!I48, NA())</f>
        <v>#N/A</v>
      </c>
      <c r="X46" s="1" t="e">
        <f>IF(NOT(ISBLANK(Data!M48)), Data!M48+Data!N48, NA())</f>
        <v>#N/A</v>
      </c>
      <c r="Y46" s="1" t="e">
        <f>IF(NOT(ISBLANK(Data!Q48)), Data!Q48+Data!R48, NA())</f>
        <v>#N/A</v>
      </c>
    </row>
    <row r="47" spans="18:25" x14ac:dyDescent="0.25">
      <c r="R47" s="1">
        <f t="shared" ref="R47" si="9">IF(R46=10000, 0, 10000)</f>
        <v>10000</v>
      </c>
      <c r="W47" s="1" t="e">
        <f>IF(NOT(ISBLANK(Data!H49)), Data!H49+Data!I49, NA())</f>
        <v>#N/A</v>
      </c>
      <c r="X47" s="1" t="e">
        <f>IF(NOT(ISBLANK(Data!M49)), Data!M49+Data!N49, NA())</f>
        <v>#N/A</v>
      </c>
      <c r="Y47" s="1" t="e">
        <f>IF(NOT(ISBLANK(Data!Q49)), Data!Q49+Data!R49, NA())</f>
        <v>#N/A</v>
      </c>
    </row>
    <row r="48" spans="18:25" x14ac:dyDescent="0.25">
      <c r="R48" s="1">
        <f t="shared" ref="R48" si="10">IF(R47=10000, 10000, 0)</f>
        <v>10000</v>
      </c>
      <c r="W48" s="1" t="e">
        <f>IF(NOT(ISBLANK(Data!H50)), Data!H50+Data!I50, NA())</f>
        <v>#N/A</v>
      </c>
      <c r="X48" s="1" t="e">
        <f>IF(NOT(ISBLANK(Data!M50)), Data!M50+Data!N50, NA())</f>
        <v>#N/A</v>
      </c>
      <c r="Y48" s="1" t="e">
        <f>IF(NOT(ISBLANK(Data!Q50)), Data!Q50+Data!R50, NA())</f>
        <v>#N/A</v>
      </c>
    </row>
    <row r="49" spans="18:25" x14ac:dyDescent="0.25">
      <c r="R49" s="1">
        <f t="shared" ref="R49" si="11">IF(R48=10000, 0, 10000)</f>
        <v>0</v>
      </c>
      <c r="W49" s="1" t="e">
        <f>IF(NOT(ISBLANK(Data!H51)), Data!H51+Data!I51, NA())</f>
        <v>#N/A</v>
      </c>
      <c r="X49" s="1" t="e">
        <f>IF(NOT(ISBLANK(Data!M51)), Data!M51+Data!N51, NA())</f>
        <v>#N/A</v>
      </c>
      <c r="Y49" s="1" t="e">
        <f>IF(NOT(ISBLANK(Data!Q51)), Data!Q51+Data!R51, NA())</f>
        <v>#N/A</v>
      </c>
    </row>
    <row r="50" spans="18:25" x14ac:dyDescent="0.25">
      <c r="R50" s="1">
        <f t="shared" ref="R50" si="12">IF(R49=10000, 10000, 0)</f>
        <v>0</v>
      </c>
      <c r="W50" s="1" t="e">
        <f>IF(NOT(ISBLANK(Data!H52)), Data!H52+Data!I52, NA())</f>
        <v>#N/A</v>
      </c>
      <c r="X50" s="1" t="e">
        <f>IF(NOT(ISBLANK(Data!M52)), Data!M52+Data!N52, NA())</f>
        <v>#N/A</v>
      </c>
      <c r="Y50" s="1" t="e">
        <f>IF(NOT(ISBLANK(Data!Q52)), Data!Q52+Data!R52, NA())</f>
        <v>#N/A</v>
      </c>
    </row>
    <row r="51" spans="18:25" x14ac:dyDescent="0.25">
      <c r="R51" s="1">
        <f t="shared" ref="R51" si="13">IF(R50=10000, 0, 10000)</f>
        <v>10000</v>
      </c>
      <c r="W51" s="1" t="e">
        <f>IF(NOT(ISBLANK(Data!H53)), Data!H53+Data!I53, NA())</f>
        <v>#N/A</v>
      </c>
      <c r="X51" s="1" t="e">
        <f>IF(NOT(ISBLANK(Data!M53)), Data!M53+Data!N53, NA())</f>
        <v>#N/A</v>
      </c>
      <c r="Y51" s="1" t="e">
        <f>IF(NOT(ISBLANK(Data!Q53)), Data!Q53+Data!R53, NA())</f>
        <v>#N/A</v>
      </c>
    </row>
    <row r="52" spans="18:25" x14ac:dyDescent="0.25">
      <c r="R52" s="1">
        <f t="shared" ref="R52" si="14">IF(R51=10000, 10000, 0)</f>
        <v>10000</v>
      </c>
      <c r="W52" s="1" t="e">
        <f>IF(NOT(ISBLANK(Data!H54)), Data!H54+Data!I54, NA())</f>
        <v>#N/A</v>
      </c>
      <c r="X52" s="1" t="e">
        <f>IF(NOT(ISBLANK(Data!M54)), Data!M54+Data!N54, NA())</f>
        <v>#N/A</v>
      </c>
      <c r="Y52" s="1" t="e">
        <f>IF(NOT(ISBLANK(Data!Q54)), Data!Q54+Data!R54, NA())</f>
        <v>#N/A</v>
      </c>
    </row>
    <row r="53" spans="18:25" x14ac:dyDescent="0.25">
      <c r="R53" s="1">
        <f t="shared" ref="R53" si="15">IF(R52=10000, 0, 10000)</f>
        <v>0</v>
      </c>
      <c r="W53" s="1" t="e">
        <f>IF(NOT(ISBLANK(Data!H55)), Data!H55+Data!I55, NA())</f>
        <v>#N/A</v>
      </c>
      <c r="X53" s="1" t="e">
        <f>IF(NOT(ISBLANK(Data!M55)), Data!M55+Data!N55, NA())</f>
        <v>#N/A</v>
      </c>
      <c r="Y53" s="1" t="e">
        <f>IF(NOT(ISBLANK(Data!Q55)), Data!Q55+Data!R55, NA())</f>
        <v>#N/A</v>
      </c>
    </row>
    <row r="54" spans="18:25" x14ac:dyDescent="0.25">
      <c r="R54" s="1">
        <f t="shared" ref="R54" si="16">IF(R53=10000, 10000, 0)</f>
        <v>0</v>
      </c>
      <c r="W54" s="1" t="e">
        <f>IF(NOT(ISBLANK(Data!H56)), Data!H56+Data!I56, NA())</f>
        <v>#N/A</v>
      </c>
      <c r="X54" s="1" t="e">
        <f>IF(NOT(ISBLANK(Data!M56)), Data!M56+Data!N56, NA())</f>
        <v>#N/A</v>
      </c>
      <c r="Y54" s="1" t="e">
        <f>IF(NOT(ISBLANK(Data!Q56)), Data!Q56+Data!R56, NA())</f>
        <v>#N/A</v>
      </c>
    </row>
    <row r="55" spans="18:25" x14ac:dyDescent="0.25">
      <c r="R55" s="1">
        <f t="shared" ref="R55" si="17">IF(R54=10000, 0, 10000)</f>
        <v>10000</v>
      </c>
      <c r="W55" s="1" t="e">
        <f>IF(NOT(ISBLANK(Data!H57)), Data!H57+Data!I57, NA())</f>
        <v>#N/A</v>
      </c>
      <c r="X55" s="1" t="e">
        <f>IF(NOT(ISBLANK(Data!M57)), Data!M57+Data!N57, NA())</f>
        <v>#N/A</v>
      </c>
      <c r="Y55" s="1" t="e">
        <f>IF(NOT(ISBLANK(Data!Q57)), Data!Q57+Data!R57, NA())</f>
        <v>#N/A</v>
      </c>
    </row>
    <row r="56" spans="18:25" x14ac:dyDescent="0.25">
      <c r="R56" s="1">
        <f t="shared" ref="R56" si="18">IF(R55=10000, 10000, 0)</f>
        <v>10000</v>
      </c>
      <c r="W56" s="1" t="e">
        <f>IF(NOT(ISBLANK(Data!H58)), Data!H58+Data!I58, NA())</f>
        <v>#N/A</v>
      </c>
      <c r="X56" s="1" t="e">
        <f>IF(NOT(ISBLANK(Data!M58)), Data!M58+Data!N58, NA())</f>
        <v>#N/A</v>
      </c>
      <c r="Y56" s="1" t="e">
        <f>IF(NOT(ISBLANK(Data!Q58)), Data!Q58+Data!R58, NA())</f>
        <v>#N/A</v>
      </c>
    </row>
    <row r="57" spans="18:25" x14ac:dyDescent="0.25">
      <c r="R57" s="1">
        <f t="shared" ref="R57" si="19">IF(R56=10000, 0, 10000)</f>
        <v>0</v>
      </c>
      <c r="W57" s="1" t="e">
        <f>IF(NOT(ISBLANK(Data!H59)), Data!H59+Data!I59, NA())</f>
        <v>#N/A</v>
      </c>
      <c r="X57" s="1" t="e">
        <f>IF(NOT(ISBLANK(Data!M59)), Data!M59+Data!N59, NA())</f>
        <v>#N/A</v>
      </c>
      <c r="Y57" s="1" t="e">
        <f>IF(NOT(ISBLANK(Data!Q59)), Data!Q59+Data!R59, NA())</f>
        <v>#N/A</v>
      </c>
    </row>
    <row r="58" spans="18:25" x14ac:dyDescent="0.25">
      <c r="R58" s="1">
        <f t="shared" ref="R58" si="20">IF(R57=10000, 10000, 0)</f>
        <v>0</v>
      </c>
      <c r="W58" s="1" t="e">
        <f>IF(NOT(ISBLANK(Data!H60)), Data!H60+Data!I60, NA())</f>
        <v>#N/A</v>
      </c>
      <c r="X58" s="1" t="e">
        <f>IF(NOT(ISBLANK(Data!M60)), Data!M60+Data!N60, NA())</f>
        <v>#N/A</v>
      </c>
      <c r="Y58" s="1" t="e">
        <f>IF(NOT(ISBLANK(Data!Q60)), Data!Q60+Data!R60, NA())</f>
        <v>#N/A</v>
      </c>
    </row>
    <row r="59" spans="18:25" x14ac:dyDescent="0.25">
      <c r="R59" s="1">
        <f t="shared" ref="R59" si="21">IF(R58=10000, 0, 10000)</f>
        <v>10000</v>
      </c>
      <c r="W59" s="1" t="e">
        <f>IF(NOT(ISBLANK(Data!H61)), Data!H61+Data!I61, NA())</f>
        <v>#N/A</v>
      </c>
      <c r="X59" s="1" t="e">
        <f>IF(NOT(ISBLANK(Data!M61)), Data!M61+Data!N61, NA())</f>
        <v>#N/A</v>
      </c>
      <c r="Y59" s="1" t="e">
        <f>IF(NOT(ISBLANK(Data!Q61)), Data!Q61+Data!R61, NA())</f>
        <v>#N/A</v>
      </c>
    </row>
    <row r="60" spans="18:25" x14ac:dyDescent="0.25">
      <c r="R60" s="1">
        <f t="shared" ref="R60" si="22">IF(R59=10000, 10000, 0)</f>
        <v>10000</v>
      </c>
      <c r="W60" s="1" t="e">
        <f>IF(NOT(ISBLANK(Data!H62)), Data!H62+Data!I62, NA())</f>
        <v>#N/A</v>
      </c>
      <c r="X60" s="1" t="e">
        <f>IF(NOT(ISBLANK(Data!M62)), Data!M62+Data!N62, NA())</f>
        <v>#N/A</v>
      </c>
      <c r="Y60" s="1" t="e">
        <f>IF(NOT(ISBLANK(Data!Q62)), Data!Q62+Data!R62, NA())</f>
        <v>#N/A</v>
      </c>
    </row>
    <row r="61" spans="18:25" x14ac:dyDescent="0.25">
      <c r="R61" s="1">
        <f t="shared" ref="R61" si="23">IF(R60=10000, 0, 10000)</f>
        <v>0</v>
      </c>
      <c r="W61" s="1" t="e">
        <f>IF(NOT(ISBLANK(Data!H63)), Data!H63+Data!I63, NA())</f>
        <v>#N/A</v>
      </c>
      <c r="X61" s="1" t="e">
        <f>IF(NOT(ISBLANK(Data!M63)), Data!M63+Data!N63, NA())</f>
        <v>#N/A</v>
      </c>
      <c r="Y61" s="1" t="e">
        <f>IF(NOT(ISBLANK(Data!Q63)), Data!Q63+Data!R63, NA())</f>
        <v>#N/A</v>
      </c>
    </row>
    <row r="62" spans="18:25" x14ac:dyDescent="0.25">
      <c r="R62" s="1">
        <f t="shared" ref="R62" si="24">IF(R61=10000, 10000, 0)</f>
        <v>0</v>
      </c>
      <c r="W62" s="1" t="e">
        <f>IF(NOT(ISBLANK(Data!H64)), Data!H64+Data!I64, NA())</f>
        <v>#N/A</v>
      </c>
      <c r="X62" s="1" t="e">
        <f>IF(NOT(ISBLANK(Data!M64)), Data!M64+Data!N64, NA())</f>
        <v>#N/A</v>
      </c>
      <c r="Y62" s="1" t="e">
        <f>IF(NOT(ISBLANK(Data!Q64)), Data!Q64+Data!R64, NA())</f>
        <v>#N/A</v>
      </c>
    </row>
    <row r="63" spans="18:25" x14ac:dyDescent="0.25">
      <c r="R63" s="1">
        <f t="shared" ref="R63" si="25">IF(R62=10000, 0, 10000)</f>
        <v>10000</v>
      </c>
      <c r="W63" s="1" t="e">
        <f>IF(NOT(ISBLANK(Data!H65)), Data!H65+Data!I65, NA())</f>
        <v>#N/A</v>
      </c>
      <c r="X63" s="1" t="e">
        <f>IF(NOT(ISBLANK(Data!M65)), Data!M65+Data!N65, NA())</f>
        <v>#N/A</v>
      </c>
      <c r="Y63" s="1" t="e">
        <f>IF(NOT(ISBLANK(Data!Q65)), Data!Q65+Data!R65, NA())</f>
        <v>#N/A</v>
      </c>
    </row>
    <row r="64" spans="18:25" x14ac:dyDescent="0.25">
      <c r="R64" s="1">
        <f t="shared" ref="R64" si="26">IF(R63=10000, 10000, 0)</f>
        <v>10000</v>
      </c>
      <c r="W64" s="1" t="e">
        <f>IF(NOT(ISBLANK(Data!H66)), Data!H66+Data!I66, NA())</f>
        <v>#N/A</v>
      </c>
      <c r="X64" s="1" t="e">
        <f>IF(NOT(ISBLANK(Data!M66)), Data!M66+Data!N66, NA())</f>
        <v>#N/A</v>
      </c>
      <c r="Y64" s="1" t="e">
        <f>IF(NOT(ISBLANK(Data!Q66)), Data!Q66+Data!R66, NA())</f>
        <v>#N/A</v>
      </c>
    </row>
    <row r="65" spans="18:25" x14ac:dyDescent="0.25">
      <c r="R65" s="1">
        <f t="shared" ref="R65" si="27">IF(R64=10000, 0, 10000)</f>
        <v>0</v>
      </c>
      <c r="W65" s="1" t="e">
        <f>IF(NOT(ISBLANK(Data!H67)), Data!H67+Data!I67, NA())</f>
        <v>#N/A</v>
      </c>
      <c r="X65" s="1" t="e">
        <f>IF(NOT(ISBLANK(Data!M67)), Data!M67+Data!N67, NA())</f>
        <v>#N/A</v>
      </c>
      <c r="Y65" s="1" t="e">
        <f>IF(NOT(ISBLANK(Data!Q67)), Data!Q67+Data!R67, NA())</f>
        <v>#N/A</v>
      </c>
    </row>
    <row r="66" spans="18:25" x14ac:dyDescent="0.25">
      <c r="R66" s="1">
        <f t="shared" ref="R66" si="28">IF(R65=10000, 10000, 0)</f>
        <v>0</v>
      </c>
      <c r="W66" s="1" t="e">
        <f>IF(NOT(ISBLANK(Data!H68)), Data!H68+Data!I68, NA())</f>
        <v>#N/A</v>
      </c>
      <c r="X66" s="1" t="e">
        <f>IF(NOT(ISBLANK(Data!M68)), Data!M68+Data!N68, NA())</f>
        <v>#N/A</v>
      </c>
      <c r="Y66" s="1" t="e">
        <f>IF(NOT(ISBLANK(Data!Q68)), Data!Q68+Data!R68, NA())</f>
        <v>#N/A</v>
      </c>
    </row>
    <row r="67" spans="18:25" x14ac:dyDescent="0.25">
      <c r="R67" s="1">
        <f t="shared" ref="R67" si="29">IF(R66=10000, 0, 10000)</f>
        <v>10000</v>
      </c>
      <c r="W67" s="1" t="e">
        <f>IF(NOT(ISBLANK(Data!H69)), Data!H69+Data!I69, NA())</f>
        <v>#N/A</v>
      </c>
      <c r="X67" s="1" t="e">
        <f>IF(NOT(ISBLANK(Data!M69)), Data!M69+Data!N69, NA())</f>
        <v>#N/A</v>
      </c>
      <c r="Y67" s="1" t="e">
        <f>IF(NOT(ISBLANK(Data!Q69)), Data!Q69+Data!R69, NA())</f>
        <v>#N/A</v>
      </c>
    </row>
    <row r="68" spans="18:25" x14ac:dyDescent="0.25">
      <c r="R68" s="1">
        <f t="shared" ref="R68" si="30">IF(R67=10000, 10000, 0)</f>
        <v>10000</v>
      </c>
      <c r="W68" s="1" t="e">
        <f>IF(NOT(ISBLANK(Data!H70)), Data!H70+Data!I70, NA())</f>
        <v>#N/A</v>
      </c>
      <c r="X68" s="1" t="e">
        <f>IF(NOT(ISBLANK(Data!M70)), Data!M70+Data!N70, NA())</f>
        <v>#N/A</v>
      </c>
      <c r="Y68" s="1" t="e">
        <f>IF(NOT(ISBLANK(Data!Q70)), Data!Q70+Data!R70, NA())</f>
        <v>#N/A</v>
      </c>
    </row>
    <row r="69" spans="18:25" x14ac:dyDescent="0.25">
      <c r="R69" s="1">
        <f t="shared" ref="R69" si="31">IF(R68=10000, 0, 10000)</f>
        <v>0</v>
      </c>
      <c r="W69" s="1" t="e">
        <f>IF(NOT(ISBLANK(Data!H71)), Data!H71+Data!I71, NA())</f>
        <v>#N/A</v>
      </c>
      <c r="X69" s="1" t="e">
        <f>IF(NOT(ISBLANK(Data!M71)), Data!M71+Data!N71, NA())</f>
        <v>#N/A</v>
      </c>
      <c r="Y69" s="1" t="e">
        <f>IF(NOT(ISBLANK(Data!Q71)), Data!Q71+Data!R71, NA())</f>
        <v>#N/A</v>
      </c>
    </row>
    <row r="70" spans="18:25" x14ac:dyDescent="0.25">
      <c r="R70" s="1">
        <f t="shared" ref="R70" si="32">IF(R69=10000, 10000, 0)</f>
        <v>0</v>
      </c>
      <c r="W70" s="1" t="e">
        <f>IF(NOT(ISBLANK(Data!H72)), Data!H72+Data!I72, NA())</f>
        <v>#N/A</v>
      </c>
      <c r="X70" s="1" t="e">
        <f>IF(NOT(ISBLANK(Data!M72)), Data!M72+Data!N72, NA())</f>
        <v>#N/A</v>
      </c>
      <c r="Y70" s="1" t="e">
        <f>IF(NOT(ISBLANK(Data!Q72)), Data!Q72+Data!R72, NA())</f>
        <v>#N/A</v>
      </c>
    </row>
    <row r="71" spans="18:25" x14ac:dyDescent="0.25">
      <c r="R71" s="1">
        <f t="shared" ref="R71" si="33">IF(R70=10000, 0, 10000)</f>
        <v>10000</v>
      </c>
      <c r="W71" s="1" t="e">
        <f>IF(NOT(ISBLANK(Data!H73)), Data!H73+Data!I73, NA())</f>
        <v>#N/A</v>
      </c>
      <c r="X71" s="1" t="e">
        <f>IF(NOT(ISBLANK(Data!M73)), Data!M73+Data!N73, NA())</f>
        <v>#N/A</v>
      </c>
      <c r="Y71" s="1" t="e">
        <f>IF(NOT(ISBLANK(Data!Q73)), Data!Q73+Data!R73, NA())</f>
        <v>#N/A</v>
      </c>
    </row>
    <row r="72" spans="18:25" x14ac:dyDescent="0.25">
      <c r="R72" s="1">
        <f t="shared" ref="R72" si="34">IF(R71=10000, 10000, 0)</f>
        <v>10000</v>
      </c>
      <c r="W72" s="1" t="e">
        <f>IF(NOT(ISBLANK(Data!H74)), Data!H74+Data!I74, NA())</f>
        <v>#N/A</v>
      </c>
      <c r="X72" s="1" t="e">
        <f>IF(NOT(ISBLANK(Data!M74)), Data!M74+Data!N74, NA())</f>
        <v>#N/A</v>
      </c>
      <c r="Y72" s="1" t="e">
        <f>IF(NOT(ISBLANK(Data!Q74)), Data!Q74+Data!R74, NA())</f>
        <v>#N/A</v>
      </c>
    </row>
    <row r="73" spans="18:25" x14ac:dyDescent="0.25">
      <c r="R73" s="1">
        <f t="shared" ref="R73" si="35">IF(R72=10000, 0, 10000)</f>
        <v>0</v>
      </c>
      <c r="W73" s="1" t="e">
        <f>IF(NOT(ISBLANK(Data!H75)), Data!H75+Data!I75, NA())</f>
        <v>#N/A</v>
      </c>
      <c r="X73" s="1" t="e">
        <f>IF(NOT(ISBLANK(Data!M75)), Data!M75+Data!N75, NA())</f>
        <v>#N/A</v>
      </c>
      <c r="Y73" s="1" t="e">
        <f>IF(NOT(ISBLANK(Data!Q75)), Data!Q75+Data!R75, NA())</f>
        <v>#N/A</v>
      </c>
    </row>
    <row r="74" spans="18:25" x14ac:dyDescent="0.25">
      <c r="R74" s="1">
        <f t="shared" ref="R74" si="36">IF(R73=10000, 10000, 0)</f>
        <v>0</v>
      </c>
      <c r="W74" s="1" t="e">
        <f>IF(NOT(ISBLANK(Data!H76)), Data!H76+Data!I76, NA())</f>
        <v>#N/A</v>
      </c>
      <c r="X74" s="1" t="e">
        <f>IF(NOT(ISBLANK(Data!M76)), Data!M76+Data!N76, NA())</f>
        <v>#N/A</v>
      </c>
      <c r="Y74" s="1" t="e">
        <f>IF(NOT(ISBLANK(Data!Q76)), Data!Q76+Data!R76, NA())</f>
        <v>#N/A</v>
      </c>
    </row>
    <row r="75" spans="18:25" x14ac:dyDescent="0.25">
      <c r="R75" s="1">
        <f t="shared" ref="R75" si="37">IF(R74=10000, 0, 10000)</f>
        <v>10000</v>
      </c>
      <c r="W75" s="1" t="e">
        <f>IF(NOT(ISBLANK(Data!H77)), Data!H77+Data!I77, NA())</f>
        <v>#N/A</v>
      </c>
      <c r="X75" s="1" t="e">
        <f>IF(NOT(ISBLANK(Data!M77)), Data!M77+Data!N77, NA())</f>
        <v>#N/A</v>
      </c>
      <c r="Y75" s="1" t="e">
        <f>IF(NOT(ISBLANK(Data!Q77)), Data!Q77+Data!R77, NA())</f>
        <v>#N/A</v>
      </c>
    </row>
    <row r="76" spans="18:25" x14ac:dyDescent="0.25">
      <c r="R76" s="1">
        <f t="shared" ref="R76" si="38">IF(R75=10000, 10000, 0)</f>
        <v>10000</v>
      </c>
      <c r="W76" s="1" t="e">
        <f>IF(NOT(ISBLANK(Data!H78)), Data!H78+Data!I78, NA())</f>
        <v>#N/A</v>
      </c>
      <c r="X76" s="1" t="e">
        <f>IF(NOT(ISBLANK(Data!M78)), Data!M78+Data!N78, NA())</f>
        <v>#N/A</v>
      </c>
      <c r="Y76" s="1" t="e">
        <f>IF(NOT(ISBLANK(Data!Q78)), Data!Q78+Data!R78, NA())</f>
        <v>#N/A</v>
      </c>
    </row>
    <row r="77" spans="18:25" x14ac:dyDescent="0.25">
      <c r="R77" s="1">
        <f t="shared" ref="R77" si="39">IF(R76=10000, 0, 10000)</f>
        <v>0</v>
      </c>
      <c r="W77" s="1" t="e">
        <f>IF(NOT(ISBLANK(Data!H79)), Data!H79+Data!I79, NA())</f>
        <v>#N/A</v>
      </c>
      <c r="X77" s="1" t="e">
        <f>IF(NOT(ISBLANK(Data!M79)), Data!M79+Data!N79, NA())</f>
        <v>#N/A</v>
      </c>
      <c r="Y77" s="1" t="e">
        <f>IF(NOT(ISBLANK(Data!Q79)), Data!Q79+Data!R79, NA())</f>
        <v>#N/A</v>
      </c>
    </row>
    <row r="78" spans="18:25" x14ac:dyDescent="0.25">
      <c r="R78" s="1">
        <f t="shared" ref="R78" si="40">IF(R77=10000, 10000, 0)</f>
        <v>0</v>
      </c>
      <c r="W78" s="1" t="e">
        <f>IF(NOT(ISBLANK(Data!H80)), Data!H80+Data!I80, NA())</f>
        <v>#N/A</v>
      </c>
      <c r="X78" s="1" t="e">
        <f>IF(NOT(ISBLANK(Data!M80)), Data!M80+Data!N80, NA())</f>
        <v>#N/A</v>
      </c>
      <c r="Y78" s="1" t="e">
        <f>IF(NOT(ISBLANK(Data!Q80)), Data!Q80+Data!R80, NA())</f>
        <v>#N/A</v>
      </c>
    </row>
    <row r="79" spans="18:25" x14ac:dyDescent="0.25">
      <c r="R79" s="1">
        <f t="shared" ref="R79" si="41">IF(R78=10000, 0, 10000)</f>
        <v>10000</v>
      </c>
      <c r="W79" s="1" t="e">
        <f>IF(NOT(ISBLANK(Data!H81)), Data!H81+Data!I81, NA())</f>
        <v>#N/A</v>
      </c>
      <c r="X79" s="1" t="e">
        <f>IF(NOT(ISBLANK(Data!M81)), Data!M81+Data!N81, NA())</f>
        <v>#N/A</v>
      </c>
      <c r="Y79" s="1" t="e">
        <f>IF(NOT(ISBLANK(Data!Q81)), Data!Q81+Data!R81, NA())</f>
        <v>#N/A</v>
      </c>
    </row>
    <row r="80" spans="18:25" x14ac:dyDescent="0.25">
      <c r="R80" s="1">
        <f t="shared" ref="R80" si="42">IF(R79=10000, 10000, 0)</f>
        <v>10000</v>
      </c>
      <c r="W80" s="1" t="e">
        <f>IF(NOT(ISBLANK(Data!H82)), Data!H82+Data!I82, NA())</f>
        <v>#N/A</v>
      </c>
      <c r="X80" s="1" t="e">
        <f>IF(NOT(ISBLANK(Data!M82)), Data!M82+Data!N82, NA())</f>
        <v>#N/A</v>
      </c>
      <c r="Y80" s="1" t="e">
        <f>IF(NOT(ISBLANK(Data!Q82)), Data!Q82+Data!R82, NA())</f>
        <v>#N/A</v>
      </c>
    </row>
    <row r="81" spans="18:25" x14ac:dyDescent="0.25">
      <c r="R81" s="1">
        <f t="shared" ref="R81" si="43">IF(R80=10000, 0, 10000)</f>
        <v>0</v>
      </c>
      <c r="W81" s="1" t="e">
        <f>IF(NOT(ISBLANK(Data!H83)), Data!H83+Data!I83, NA())</f>
        <v>#N/A</v>
      </c>
      <c r="X81" s="1" t="e">
        <f>IF(NOT(ISBLANK(Data!M83)), Data!M83+Data!N83, NA())</f>
        <v>#N/A</v>
      </c>
      <c r="Y81" s="1" t="e">
        <f>IF(NOT(ISBLANK(Data!Q83)), Data!Q83+Data!R83, NA())</f>
        <v>#N/A</v>
      </c>
    </row>
    <row r="82" spans="18:25" x14ac:dyDescent="0.25">
      <c r="R82" s="1">
        <f t="shared" ref="R82" si="44">IF(R81=10000, 10000, 0)</f>
        <v>0</v>
      </c>
      <c r="W82" s="1" t="e">
        <f>IF(NOT(ISBLANK(Data!H84)), Data!H84+Data!I84, NA())</f>
        <v>#N/A</v>
      </c>
      <c r="X82" s="1" t="e">
        <f>IF(NOT(ISBLANK(Data!M84)), Data!M84+Data!N84, NA())</f>
        <v>#N/A</v>
      </c>
      <c r="Y82" s="1" t="e">
        <f>IF(NOT(ISBLANK(Data!Q84)), Data!Q84+Data!R84, NA())</f>
        <v>#N/A</v>
      </c>
    </row>
    <row r="83" spans="18:25" x14ac:dyDescent="0.25">
      <c r="R83" s="1">
        <f t="shared" ref="R83" si="45">IF(R82=10000, 0, 10000)</f>
        <v>10000</v>
      </c>
      <c r="W83" s="1" t="e">
        <f>IF(NOT(ISBLANK(Data!H85)), Data!H85+Data!I85, NA())</f>
        <v>#N/A</v>
      </c>
      <c r="X83" s="1" t="e">
        <f>IF(NOT(ISBLANK(Data!M85)), Data!M85+Data!N85, NA())</f>
        <v>#N/A</v>
      </c>
      <c r="Y83" s="1" t="e">
        <f>IF(NOT(ISBLANK(Data!Q85)), Data!Q85+Data!R85, NA())</f>
        <v>#N/A</v>
      </c>
    </row>
    <row r="84" spans="18:25" x14ac:dyDescent="0.25">
      <c r="R84" s="1">
        <f t="shared" ref="R84" si="46">IF(R83=10000, 10000, 0)</f>
        <v>10000</v>
      </c>
      <c r="W84" s="1" t="e">
        <f>IF(NOT(ISBLANK(Data!H86)), Data!H86+Data!I86, NA())</f>
        <v>#N/A</v>
      </c>
      <c r="X84" s="1" t="e">
        <f>IF(NOT(ISBLANK(Data!M86)), Data!M86+Data!N86, NA())</f>
        <v>#N/A</v>
      </c>
      <c r="Y84" s="1" t="e">
        <f>IF(NOT(ISBLANK(Data!Q86)), Data!Q86+Data!R86, NA())</f>
        <v>#N/A</v>
      </c>
    </row>
    <row r="85" spans="18:25" x14ac:dyDescent="0.25">
      <c r="R85" s="1">
        <f t="shared" ref="R85" si="47">IF(R84=10000, 0, 10000)</f>
        <v>0</v>
      </c>
      <c r="W85" s="1" t="e">
        <f>IF(NOT(ISBLANK(Data!H87)), Data!H87+Data!I87, NA())</f>
        <v>#N/A</v>
      </c>
      <c r="X85" s="1" t="e">
        <f>IF(NOT(ISBLANK(Data!M87)), Data!M87+Data!N87, NA())</f>
        <v>#N/A</v>
      </c>
      <c r="Y85" s="1" t="e">
        <f>IF(NOT(ISBLANK(Data!Q87)), Data!Q87+Data!R87, NA())</f>
        <v>#N/A</v>
      </c>
    </row>
    <row r="86" spans="18:25" x14ac:dyDescent="0.25">
      <c r="R86" s="1">
        <f t="shared" ref="R86" si="48">IF(R85=10000, 10000, 0)</f>
        <v>0</v>
      </c>
      <c r="W86" s="1" t="e">
        <f>IF(NOT(ISBLANK(Data!H88)), Data!H88+Data!I88, NA())</f>
        <v>#N/A</v>
      </c>
      <c r="X86" s="1" t="e">
        <f>IF(NOT(ISBLANK(Data!M88)), Data!M88+Data!N88, NA())</f>
        <v>#N/A</v>
      </c>
      <c r="Y86" s="1" t="e">
        <f>IF(NOT(ISBLANK(Data!Q88)), Data!Q88+Data!R88, NA())</f>
        <v>#N/A</v>
      </c>
    </row>
    <row r="87" spans="18:25" x14ac:dyDescent="0.25">
      <c r="R87" s="1">
        <f t="shared" ref="R87" si="49">IF(R86=10000, 0, 10000)</f>
        <v>10000</v>
      </c>
      <c r="W87" s="1" t="e">
        <f>IF(NOT(ISBLANK(Data!H89)), Data!H89+Data!I89, NA())</f>
        <v>#N/A</v>
      </c>
      <c r="X87" s="1" t="e">
        <f>IF(NOT(ISBLANK(Data!M89)), Data!M89+Data!N89, NA())</f>
        <v>#N/A</v>
      </c>
      <c r="Y87" s="1" t="e">
        <f>IF(NOT(ISBLANK(Data!Q89)), Data!Q89+Data!R89, NA())</f>
        <v>#N/A</v>
      </c>
    </row>
    <row r="88" spans="18:25" x14ac:dyDescent="0.25">
      <c r="R88" s="1">
        <f t="shared" ref="R88" si="50">IF(R87=10000, 10000, 0)</f>
        <v>10000</v>
      </c>
      <c r="W88" s="1" t="e">
        <f>IF(NOT(ISBLANK(Data!H90)), Data!H90+Data!I90, NA())</f>
        <v>#N/A</v>
      </c>
      <c r="X88" s="1" t="e">
        <f>IF(NOT(ISBLANK(Data!M90)), Data!M90+Data!N90, NA())</f>
        <v>#N/A</v>
      </c>
      <c r="Y88" s="1" t="e">
        <f>IF(NOT(ISBLANK(Data!Q90)), Data!Q90+Data!R90, NA())</f>
        <v>#N/A</v>
      </c>
    </row>
    <row r="89" spans="18:25" x14ac:dyDescent="0.25">
      <c r="R89" s="1">
        <f t="shared" ref="R89" si="51">IF(R88=10000, 0, 10000)</f>
        <v>0</v>
      </c>
      <c r="W89" s="1" t="e">
        <f>IF(NOT(ISBLANK(Data!H91)), Data!H91+Data!I91, NA())</f>
        <v>#N/A</v>
      </c>
      <c r="X89" s="1" t="e">
        <f>IF(NOT(ISBLANK(Data!M91)), Data!M91+Data!N91, NA())</f>
        <v>#N/A</v>
      </c>
      <c r="Y89" s="1" t="e">
        <f>IF(NOT(ISBLANK(Data!Q91)), Data!Q91+Data!R91, NA())</f>
        <v>#N/A</v>
      </c>
    </row>
    <row r="90" spans="18:25" x14ac:dyDescent="0.25">
      <c r="R90" s="1">
        <f t="shared" ref="R90" si="52">IF(R89=10000, 10000, 0)</f>
        <v>0</v>
      </c>
      <c r="W90" s="1" t="e">
        <f>IF(NOT(ISBLANK(Data!H92)), Data!H92+Data!I92, NA())</f>
        <v>#N/A</v>
      </c>
      <c r="X90" s="1" t="e">
        <f>IF(NOT(ISBLANK(Data!M92)), Data!M92+Data!N92, NA())</f>
        <v>#N/A</v>
      </c>
      <c r="Y90" s="1" t="e">
        <f>IF(NOT(ISBLANK(Data!Q92)), Data!Q92+Data!R92, NA())</f>
        <v>#N/A</v>
      </c>
    </row>
    <row r="91" spans="18:25" x14ac:dyDescent="0.25">
      <c r="R91" s="1">
        <f t="shared" ref="R91" si="53">IF(R90=10000, 0, 10000)</f>
        <v>10000</v>
      </c>
      <c r="W91" s="1" t="e">
        <f>IF(NOT(ISBLANK(Data!H93)), Data!H93+Data!I93, NA())</f>
        <v>#N/A</v>
      </c>
      <c r="X91" s="1" t="e">
        <f>IF(NOT(ISBLANK(Data!M93)), Data!M93+Data!N93, NA())</f>
        <v>#N/A</v>
      </c>
      <c r="Y91" s="1" t="e">
        <f>IF(NOT(ISBLANK(Data!Q93)), Data!Q93+Data!R93, NA())</f>
        <v>#N/A</v>
      </c>
    </row>
    <row r="92" spans="18:25" x14ac:dyDescent="0.25">
      <c r="R92" s="1">
        <f t="shared" ref="R92" si="54">IF(R91=10000, 10000, 0)</f>
        <v>10000</v>
      </c>
      <c r="W92" s="1" t="e">
        <f>IF(NOT(ISBLANK(Data!H94)), Data!H94+Data!I94, NA())</f>
        <v>#N/A</v>
      </c>
      <c r="X92" s="1" t="e">
        <f>IF(NOT(ISBLANK(Data!M94)), Data!M94+Data!N94, NA())</f>
        <v>#N/A</v>
      </c>
      <c r="Y92" s="1" t="e">
        <f>IF(NOT(ISBLANK(Data!Q94)), Data!Q94+Data!R94, NA())</f>
        <v>#N/A</v>
      </c>
    </row>
    <row r="93" spans="18:25" x14ac:dyDescent="0.25">
      <c r="R93" s="1">
        <f t="shared" ref="R93" si="55">IF(R92=10000, 0, 10000)</f>
        <v>0</v>
      </c>
      <c r="W93" s="1" t="e">
        <f>IF(NOT(ISBLANK(Data!H95)), Data!H95+Data!I95, NA())</f>
        <v>#N/A</v>
      </c>
      <c r="X93" s="1" t="e">
        <f>IF(NOT(ISBLANK(Data!M95)), Data!M95+Data!N95, NA())</f>
        <v>#N/A</v>
      </c>
      <c r="Y93" s="1" t="e">
        <f>IF(NOT(ISBLANK(Data!Q95)), Data!Q95+Data!R95, NA())</f>
        <v>#N/A</v>
      </c>
    </row>
    <row r="94" spans="18:25" x14ac:dyDescent="0.25">
      <c r="R94" s="1">
        <f t="shared" ref="R94" si="56">IF(R93=10000, 10000, 0)</f>
        <v>0</v>
      </c>
      <c r="W94" s="1" t="e">
        <f>IF(NOT(ISBLANK(Data!H96)), Data!H96+Data!I96, NA())</f>
        <v>#N/A</v>
      </c>
      <c r="X94" s="1" t="e">
        <f>IF(NOT(ISBLANK(Data!M96)), Data!M96+Data!N96, NA())</f>
        <v>#N/A</v>
      </c>
      <c r="Y94" s="1" t="e">
        <f>IF(NOT(ISBLANK(Data!Q96)), Data!Q96+Data!R96, NA())</f>
        <v>#N/A</v>
      </c>
    </row>
    <row r="95" spans="18:25" x14ac:dyDescent="0.25">
      <c r="R95" s="1">
        <f t="shared" ref="R95" si="57">IF(R94=10000, 0, 10000)</f>
        <v>10000</v>
      </c>
      <c r="W95" s="1" t="e">
        <f>IF(NOT(ISBLANK(Data!H97)), Data!H97+Data!I97, NA())</f>
        <v>#N/A</v>
      </c>
      <c r="X95" s="1" t="e">
        <f>IF(NOT(ISBLANK(Data!M97)), Data!M97+Data!N97, NA())</f>
        <v>#N/A</v>
      </c>
      <c r="Y95" s="1" t="e">
        <f>IF(NOT(ISBLANK(Data!Q97)), Data!Q97+Data!R97, NA())</f>
        <v>#N/A</v>
      </c>
    </row>
    <row r="96" spans="18:25" x14ac:dyDescent="0.25">
      <c r="R96" s="1">
        <f t="shared" ref="R96" si="58">IF(R95=10000, 10000, 0)</f>
        <v>10000</v>
      </c>
      <c r="W96" s="1" t="e">
        <f>IF(NOT(ISBLANK(Data!H98)), Data!H98+Data!I98, NA())</f>
        <v>#N/A</v>
      </c>
      <c r="X96" s="1" t="e">
        <f>IF(NOT(ISBLANK(Data!M98)), Data!M98+Data!N98, NA())</f>
        <v>#N/A</v>
      </c>
      <c r="Y96" s="1" t="e">
        <f>IF(NOT(ISBLANK(Data!Q98)), Data!Q98+Data!R98, NA())</f>
        <v>#N/A</v>
      </c>
    </row>
    <row r="97" spans="18:25" x14ac:dyDescent="0.25">
      <c r="R97" s="1">
        <f t="shared" ref="R97" si="59">IF(R96=10000, 0, 10000)</f>
        <v>0</v>
      </c>
      <c r="W97" s="1" t="e">
        <f>IF(NOT(ISBLANK(Data!H99)), Data!H99+Data!I99, NA())</f>
        <v>#N/A</v>
      </c>
      <c r="X97" s="1" t="e">
        <f>IF(NOT(ISBLANK(Data!M99)), Data!M99+Data!N99, NA())</f>
        <v>#N/A</v>
      </c>
      <c r="Y97" s="1" t="e">
        <f>IF(NOT(ISBLANK(Data!Q99)), Data!Q99+Data!R99, NA())</f>
        <v>#N/A</v>
      </c>
    </row>
    <row r="98" spans="18:25" x14ac:dyDescent="0.25">
      <c r="R98" s="1">
        <f t="shared" ref="R98" si="60">IF(R97=10000, 10000, 0)</f>
        <v>0</v>
      </c>
      <c r="W98" s="1" t="e">
        <f>IF(NOT(ISBLANK(Data!H100)), Data!H100+Data!I100, NA())</f>
        <v>#N/A</v>
      </c>
      <c r="X98" s="1" t="e">
        <f>IF(NOT(ISBLANK(Data!M100)), Data!M100+Data!N100, NA())</f>
        <v>#N/A</v>
      </c>
      <c r="Y98" s="1" t="e">
        <f>IF(NOT(ISBLANK(Data!Q100)), Data!Q100+Data!R100, NA())</f>
        <v>#N/A</v>
      </c>
    </row>
    <row r="99" spans="18:25" x14ac:dyDescent="0.25">
      <c r="R99" s="1">
        <f t="shared" ref="R99" si="61">IF(R98=10000, 0, 10000)</f>
        <v>10000</v>
      </c>
      <c r="W99" s="1" t="e">
        <f>IF(NOT(ISBLANK(Data!H101)), Data!H101+Data!I101, NA())</f>
        <v>#N/A</v>
      </c>
      <c r="X99" s="1" t="e">
        <f>IF(NOT(ISBLANK(Data!M101)), Data!M101+Data!N101, NA())</f>
        <v>#N/A</v>
      </c>
      <c r="Y99" s="1" t="e">
        <f>IF(NOT(ISBLANK(Data!Q101)), Data!Q101+Data!R101, NA())</f>
        <v>#N/A</v>
      </c>
    </row>
    <row r="100" spans="18:25" x14ac:dyDescent="0.25">
      <c r="R100" s="1">
        <f t="shared" ref="R100" si="62">IF(R99=10000, 10000, 0)</f>
        <v>10000</v>
      </c>
      <c r="W100" s="1" t="e">
        <f>IF(NOT(ISBLANK(Data!H102)), Data!H102+Data!I102, NA())</f>
        <v>#N/A</v>
      </c>
      <c r="X100" s="1" t="e">
        <f>IF(NOT(ISBLANK(Data!M102)), Data!M102+Data!N102, NA())</f>
        <v>#N/A</v>
      </c>
      <c r="Y100" s="1" t="e">
        <f>IF(NOT(ISBLANK(Data!Q102)), Data!Q102+Data!R102, NA())</f>
        <v>#N/A</v>
      </c>
    </row>
    <row r="101" spans="18:25" x14ac:dyDescent="0.25">
      <c r="R101" s="1">
        <f t="shared" ref="R101" si="63">IF(R100=10000, 0, 10000)</f>
        <v>0</v>
      </c>
      <c r="W101" s="1" t="e">
        <f>IF(NOT(ISBLANK(Data!H103)), Data!H103+Data!I103, NA())</f>
        <v>#N/A</v>
      </c>
      <c r="X101" s="1" t="e">
        <f>IF(NOT(ISBLANK(Data!M103)), Data!M103+Data!N103, NA())</f>
        <v>#N/A</v>
      </c>
      <c r="Y101" s="1" t="e">
        <f>IF(NOT(ISBLANK(Data!Q103)), Data!Q103+Data!R103, NA())</f>
        <v>#N/A</v>
      </c>
    </row>
    <row r="102" spans="18:25" x14ac:dyDescent="0.25">
      <c r="R102" s="1">
        <f t="shared" ref="R102" si="64">IF(R101=10000, 10000, 0)</f>
        <v>0</v>
      </c>
      <c r="W102" s="1" t="e">
        <f>IF(NOT(ISBLANK(Data!H104)), Data!H104+Data!I104, NA())</f>
        <v>#N/A</v>
      </c>
      <c r="X102" s="1" t="e">
        <f>IF(NOT(ISBLANK(Data!M104)), Data!M104+Data!N104, NA())</f>
        <v>#N/A</v>
      </c>
      <c r="Y102" s="1" t="e">
        <f>IF(NOT(ISBLANK(Data!Q104)), Data!Q104+Data!R104, NA())</f>
        <v>#N/A</v>
      </c>
    </row>
    <row r="103" spans="18:25" x14ac:dyDescent="0.25">
      <c r="R103" s="1">
        <f t="shared" ref="R103" si="65">IF(R102=10000, 0, 10000)</f>
        <v>10000</v>
      </c>
      <c r="W103" s="1" t="e">
        <f>IF(NOT(ISBLANK(Data!H105)), Data!H105+Data!I105, NA())</f>
        <v>#N/A</v>
      </c>
      <c r="X103" s="1" t="e">
        <f>IF(NOT(ISBLANK(Data!M105)), Data!M105+Data!N105, NA())</f>
        <v>#N/A</v>
      </c>
      <c r="Y103" s="1" t="e">
        <f>IF(NOT(ISBLANK(Data!Q105)), Data!Q105+Data!R105, NA())</f>
        <v>#N/A</v>
      </c>
    </row>
    <row r="104" spans="18:25" x14ac:dyDescent="0.25">
      <c r="R104" s="1">
        <f t="shared" ref="R104" si="66">IF(R103=10000, 10000, 0)</f>
        <v>10000</v>
      </c>
      <c r="W104" s="1" t="e">
        <f>IF(NOT(ISBLANK(Data!H106)), Data!H106+Data!I106, NA())</f>
        <v>#N/A</v>
      </c>
      <c r="X104" s="1" t="e">
        <f>IF(NOT(ISBLANK(Data!M106)), Data!M106+Data!N106, NA())</f>
        <v>#N/A</v>
      </c>
      <c r="Y104" s="1" t="e">
        <f>IF(NOT(ISBLANK(Data!Q106)), Data!Q106+Data!R106, NA())</f>
        <v>#N/A</v>
      </c>
    </row>
    <row r="105" spans="18:25" x14ac:dyDescent="0.25">
      <c r="R105" s="1">
        <f t="shared" ref="R105" si="67">IF(R104=10000, 0, 10000)</f>
        <v>0</v>
      </c>
      <c r="W105" s="1" t="e">
        <f>IF(NOT(ISBLANK(Data!H107)), Data!H107+Data!I107, NA())</f>
        <v>#N/A</v>
      </c>
      <c r="X105" s="1" t="e">
        <f>IF(NOT(ISBLANK(Data!M107)), Data!M107+Data!N107, NA())</f>
        <v>#N/A</v>
      </c>
      <c r="Y105" s="1" t="e">
        <f>IF(NOT(ISBLANK(Data!Q107)), Data!Q107+Data!R107, NA())</f>
        <v>#N/A</v>
      </c>
    </row>
    <row r="106" spans="18:25" x14ac:dyDescent="0.25">
      <c r="R106" s="1">
        <f t="shared" ref="R106" si="68">IF(R105=10000, 10000, 0)</f>
        <v>0</v>
      </c>
      <c r="W106" s="1" t="e">
        <f>IF(NOT(ISBLANK(Data!H108)), Data!H108+Data!I108, NA())</f>
        <v>#N/A</v>
      </c>
      <c r="X106" s="1" t="e">
        <f>IF(NOT(ISBLANK(Data!M108)), Data!M108+Data!N108, NA())</f>
        <v>#N/A</v>
      </c>
      <c r="Y106" s="1" t="e">
        <f>IF(NOT(ISBLANK(Data!Q108)), Data!Q108+Data!R108, NA())</f>
        <v>#N/A</v>
      </c>
    </row>
    <row r="107" spans="18:25" x14ac:dyDescent="0.25">
      <c r="R107" s="1">
        <f t="shared" ref="R107" si="69">IF(R106=10000, 0, 10000)</f>
        <v>10000</v>
      </c>
      <c r="W107" s="1" t="e">
        <f>IF(NOT(ISBLANK(Data!H109)), Data!H109+Data!I109, NA())</f>
        <v>#N/A</v>
      </c>
      <c r="X107" s="1" t="e">
        <f>IF(NOT(ISBLANK(Data!M109)), Data!M109+Data!N109, NA())</f>
        <v>#N/A</v>
      </c>
      <c r="Y107" s="1" t="e">
        <f>IF(NOT(ISBLANK(Data!Q109)), Data!Q109+Data!R109, NA())</f>
        <v>#N/A</v>
      </c>
    </row>
    <row r="108" spans="18:25" x14ac:dyDescent="0.25">
      <c r="R108" s="1">
        <f t="shared" ref="R108" si="70">IF(R107=10000, 10000, 0)</f>
        <v>10000</v>
      </c>
      <c r="W108" s="1" t="e">
        <f>IF(NOT(ISBLANK(Data!H110)), Data!H110+Data!I110, NA())</f>
        <v>#N/A</v>
      </c>
      <c r="X108" s="1" t="e">
        <f>IF(NOT(ISBLANK(Data!M110)), Data!M110+Data!N110, NA())</f>
        <v>#N/A</v>
      </c>
      <c r="Y108" s="1" t="e">
        <f>IF(NOT(ISBLANK(Data!Q110)), Data!Q110+Data!R110, NA())</f>
        <v>#N/A</v>
      </c>
    </row>
    <row r="109" spans="18:25" x14ac:dyDescent="0.25">
      <c r="R109" s="1">
        <f t="shared" ref="R109" si="71">IF(R108=10000, 0, 10000)</f>
        <v>0</v>
      </c>
      <c r="W109" s="1" t="e">
        <f>IF(NOT(ISBLANK(Data!H111)), Data!H111+Data!I111, NA())</f>
        <v>#N/A</v>
      </c>
      <c r="X109" s="1" t="e">
        <f>IF(NOT(ISBLANK(Data!M111)), Data!M111+Data!N111, NA())</f>
        <v>#N/A</v>
      </c>
      <c r="Y109" s="1" t="e">
        <f>IF(NOT(ISBLANK(Data!Q111)), Data!Q111+Data!R111, NA())</f>
        <v>#N/A</v>
      </c>
    </row>
    <row r="110" spans="18:25" x14ac:dyDescent="0.25">
      <c r="R110" s="1">
        <f t="shared" ref="R110" si="72">IF(R109=10000, 10000, 0)</f>
        <v>0</v>
      </c>
      <c r="W110" s="1" t="e">
        <f>IF(NOT(ISBLANK(Data!H112)), Data!H112+Data!I112, NA())</f>
        <v>#N/A</v>
      </c>
      <c r="X110" s="1" t="e">
        <f>IF(NOT(ISBLANK(Data!M112)), Data!M112+Data!N112, NA())</f>
        <v>#N/A</v>
      </c>
      <c r="Y110" s="1" t="e">
        <f>IF(NOT(ISBLANK(Data!Q112)), Data!Q112+Data!R112, NA())</f>
        <v>#N/A</v>
      </c>
    </row>
    <row r="111" spans="18:25" x14ac:dyDescent="0.25">
      <c r="R111" s="1">
        <f t="shared" ref="R111" si="73">IF(R110=10000, 0, 10000)</f>
        <v>10000</v>
      </c>
      <c r="W111" s="1" t="e">
        <f>IF(NOT(ISBLANK(Data!H113)), Data!H113+Data!I113, NA())</f>
        <v>#N/A</v>
      </c>
      <c r="X111" s="1" t="e">
        <f>IF(NOT(ISBLANK(Data!M113)), Data!M113+Data!N113, NA())</f>
        <v>#N/A</v>
      </c>
      <c r="Y111" s="1" t="e">
        <f>IF(NOT(ISBLANK(Data!Q113)), Data!Q113+Data!R113, NA())</f>
        <v>#N/A</v>
      </c>
    </row>
    <row r="112" spans="18:25" x14ac:dyDescent="0.25">
      <c r="R112" s="1">
        <f t="shared" ref="R112" si="74">IF(R111=10000, 10000, 0)</f>
        <v>10000</v>
      </c>
      <c r="W112" s="1" t="e">
        <f>IF(NOT(ISBLANK(Data!H114)), Data!H114+Data!I114, NA())</f>
        <v>#N/A</v>
      </c>
      <c r="X112" s="1" t="e">
        <f>IF(NOT(ISBLANK(Data!M114)), Data!M114+Data!N114, NA())</f>
        <v>#N/A</v>
      </c>
      <c r="Y112" s="1" t="e">
        <f>IF(NOT(ISBLANK(Data!Q114)), Data!Q114+Data!R114, NA())</f>
        <v>#N/A</v>
      </c>
    </row>
    <row r="113" spans="18:25" x14ac:dyDescent="0.25">
      <c r="R113" s="1">
        <f t="shared" ref="R113" si="75">IF(R112=10000, 0, 10000)</f>
        <v>0</v>
      </c>
      <c r="W113" s="1" t="e">
        <f>IF(NOT(ISBLANK(Data!H115)), Data!H115+Data!I115, NA())</f>
        <v>#N/A</v>
      </c>
      <c r="X113" s="1" t="e">
        <f>IF(NOT(ISBLANK(Data!M115)), Data!M115+Data!N115, NA())</f>
        <v>#N/A</v>
      </c>
      <c r="Y113" s="1" t="e">
        <f>IF(NOT(ISBLANK(Data!Q115)), Data!Q115+Data!R115, NA())</f>
        <v>#N/A</v>
      </c>
    </row>
    <row r="114" spans="18:25" x14ac:dyDescent="0.25">
      <c r="R114" s="1">
        <f t="shared" ref="R114" si="76">IF(R113=10000, 10000, 0)</f>
        <v>0</v>
      </c>
      <c r="W114" s="1" t="e">
        <f>IF(NOT(ISBLANK(Data!H116)), Data!H116+Data!I116, NA())</f>
        <v>#N/A</v>
      </c>
      <c r="X114" s="1" t="e">
        <f>IF(NOT(ISBLANK(Data!M116)), Data!M116+Data!N116, NA())</f>
        <v>#N/A</v>
      </c>
      <c r="Y114" s="1" t="e">
        <f>IF(NOT(ISBLANK(Data!Q116)), Data!Q116+Data!R116, NA())</f>
        <v>#N/A</v>
      </c>
    </row>
    <row r="115" spans="18:25" x14ac:dyDescent="0.25">
      <c r="R115" s="1">
        <f t="shared" ref="R115" si="77">IF(R114=10000, 0, 10000)</f>
        <v>10000</v>
      </c>
      <c r="W115" s="1" t="e">
        <f>IF(NOT(ISBLANK(Data!H117)), Data!H117+Data!I117, NA())</f>
        <v>#N/A</v>
      </c>
      <c r="X115" s="1" t="e">
        <f>IF(NOT(ISBLANK(Data!M117)), Data!M117+Data!N117, NA())</f>
        <v>#N/A</v>
      </c>
      <c r="Y115" s="1" t="e">
        <f>IF(NOT(ISBLANK(Data!Q117)), Data!Q117+Data!R117, NA())</f>
        <v>#N/A</v>
      </c>
    </row>
    <row r="116" spans="18:25" x14ac:dyDescent="0.25">
      <c r="R116" s="1">
        <f t="shared" ref="R116" si="78">IF(R115=10000, 10000, 0)</f>
        <v>10000</v>
      </c>
      <c r="W116" s="1" t="e">
        <f>IF(NOT(ISBLANK(Data!H118)), Data!H118+Data!I118, NA())</f>
        <v>#N/A</v>
      </c>
      <c r="X116" s="1" t="e">
        <f>IF(NOT(ISBLANK(Data!M118)), Data!M118+Data!N118, NA())</f>
        <v>#N/A</v>
      </c>
      <c r="Y116" s="1" t="e">
        <f>IF(NOT(ISBLANK(Data!Q118)), Data!Q118+Data!R118, NA())</f>
        <v>#N/A</v>
      </c>
    </row>
    <row r="117" spans="18:25" x14ac:dyDescent="0.25">
      <c r="R117" s="1">
        <f t="shared" ref="R117" si="79">IF(R116=10000, 0, 10000)</f>
        <v>0</v>
      </c>
      <c r="W117" s="1" t="e">
        <f>IF(NOT(ISBLANK(Data!H119)), Data!H119+Data!I119, NA())</f>
        <v>#N/A</v>
      </c>
      <c r="X117" s="1" t="e">
        <f>IF(NOT(ISBLANK(Data!M119)), Data!M119+Data!N119, NA())</f>
        <v>#N/A</v>
      </c>
      <c r="Y117" s="1" t="e">
        <f>IF(NOT(ISBLANK(Data!Q119)), Data!Q119+Data!R119, NA())</f>
        <v>#N/A</v>
      </c>
    </row>
    <row r="118" spans="18:25" x14ac:dyDescent="0.25">
      <c r="R118" s="1">
        <f t="shared" ref="R118" si="80">IF(R117=10000, 10000, 0)</f>
        <v>0</v>
      </c>
      <c r="W118" s="1" t="e">
        <f>IF(NOT(ISBLANK(Data!H120)), Data!H120+Data!I120, NA())</f>
        <v>#N/A</v>
      </c>
      <c r="X118" s="1" t="e">
        <f>IF(NOT(ISBLANK(Data!M120)), Data!M120+Data!N120, NA())</f>
        <v>#N/A</v>
      </c>
      <c r="Y118" s="1" t="e">
        <f>IF(NOT(ISBLANK(Data!Q120)), Data!Q120+Data!R120, NA())</f>
        <v>#N/A</v>
      </c>
    </row>
    <row r="119" spans="18:25" x14ac:dyDescent="0.25">
      <c r="R119" s="1">
        <f t="shared" ref="R119" si="81">IF(R118=10000, 0, 10000)</f>
        <v>10000</v>
      </c>
      <c r="W119" s="1" t="e">
        <f>IF(NOT(ISBLANK(Data!H121)), Data!H121+Data!I121, NA())</f>
        <v>#N/A</v>
      </c>
      <c r="X119" s="1" t="e">
        <f>IF(NOT(ISBLANK(Data!M121)), Data!M121+Data!N121, NA())</f>
        <v>#N/A</v>
      </c>
      <c r="Y119" s="1" t="e">
        <f>IF(NOT(ISBLANK(Data!Q121)), Data!Q121+Data!R121, NA())</f>
        <v>#N/A</v>
      </c>
    </row>
    <row r="120" spans="18:25" x14ac:dyDescent="0.25">
      <c r="R120" s="1">
        <f t="shared" ref="R120" si="82">IF(R119=10000, 10000, 0)</f>
        <v>10000</v>
      </c>
      <c r="W120" s="1" t="e">
        <f>IF(NOT(ISBLANK(Data!H122)), Data!H122+Data!I122, NA())</f>
        <v>#N/A</v>
      </c>
      <c r="X120" s="1" t="e">
        <f>IF(NOT(ISBLANK(Data!M122)), Data!M122+Data!N122, NA())</f>
        <v>#N/A</v>
      </c>
      <c r="Y120" s="1" t="e">
        <f>IF(NOT(ISBLANK(Data!Q122)), Data!Q122+Data!R122, NA())</f>
        <v>#N/A</v>
      </c>
    </row>
    <row r="121" spans="18:25" x14ac:dyDescent="0.25">
      <c r="R121" s="1">
        <f t="shared" ref="R121" si="83">IF(R120=10000, 0, 10000)</f>
        <v>0</v>
      </c>
      <c r="W121" s="1" t="e">
        <f>IF(NOT(ISBLANK(Data!H123)), Data!H123+Data!I123, NA())</f>
        <v>#N/A</v>
      </c>
      <c r="X121" s="1" t="e">
        <f>IF(NOT(ISBLANK(Data!M123)), Data!M123+Data!N123, NA())</f>
        <v>#N/A</v>
      </c>
      <c r="Y121" s="1" t="e">
        <f>IF(NOT(ISBLANK(Data!Q123)), Data!Q123+Data!R123, NA())</f>
        <v>#N/A</v>
      </c>
    </row>
    <row r="122" spans="18:25" x14ac:dyDescent="0.25">
      <c r="R122" s="1">
        <f t="shared" ref="R122" si="84">IF(R121=10000, 10000, 0)</f>
        <v>0</v>
      </c>
      <c r="W122" s="1" t="e">
        <f>IF(NOT(ISBLANK(Data!H124)), Data!H124+Data!I124, NA())</f>
        <v>#N/A</v>
      </c>
      <c r="X122" s="1" t="e">
        <f>IF(NOT(ISBLANK(Data!M124)), Data!M124+Data!N124, NA())</f>
        <v>#N/A</v>
      </c>
      <c r="Y122" s="1" t="e">
        <f>IF(NOT(ISBLANK(Data!Q124)), Data!Q124+Data!R124, NA())</f>
        <v>#N/A</v>
      </c>
    </row>
    <row r="123" spans="18:25" x14ac:dyDescent="0.25">
      <c r="R123" s="1">
        <f t="shared" ref="R123" si="85">IF(R122=10000, 0, 10000)</f>
        <v>10000</v>
      </c>
      <c r="W123" s="1" t="e">
        <f>IF(NOT(ISBLANK(Data!H125)), Data!H125+Data!I125, NA())</f>
        <v>#N/A</v>
      </c>
      <c r="X123" s="1" t="e">
        <f>IF(NOT(ISBLANK(Data!M125)), Data!M125+Data!N125, NA())</f>
        <v>#N/A</v>
      </c>
      <c r="Y123" s="1" t="e">
        <f>IF(NOT(ISBLANK(Data!Q125)), Data!Q125+Data!R125, NA())</f>
        <v>#N/A</v>
      </c>
    </row>
    <row r="124" spans="18:25" x14ac:dyDescent="0.25">
      <c r="R124" s="1">
        <f t="shared" ref="R124" si="86">IF(R123=10000, 10000, 0)</f>
        <v>10000</v>
      </c>
      <c r="W124" s="1" t="e">
        <f>IF(NOT(ISBLANK(Data!H126)), Data!H126+Data!I126, NA())</f>
        <v>#N/A</v>
      </c>
      <c r="X124" s="1" t="e">
        <f>IF(NOT(ISBLANK(Data!M126)), Data!M126+Data!N126, NA())</f>
        <v>#N/A</v>
      </c>
      <c r="Y124" s="1" t="e">
        <f>IF(NOT(ISBLANK(Data!Q126)), Data!Q126+Data!R126, NA())</f>
        <v>#N/A</v>
      </c>
    </row>
    <row r="125" spans="18:25" x14ac:dyDescent="0.25">
      <c r="R125" s="1">
        <f t="shared" ref="R125" si="87">IF(R124=10000, 0, 10000)</f>
        <v>0</v>
      </c>
      <c r="W125" s="1" t="e">
        <f>IF(NOT(ISBLANK(Data!H127)), Data!H127+Data!I127, NA())</f>
        <v>#N/A</v>
      </c>
      <c r="X125" s="1" t="e">
        <f>IF(NOT(ISBLANK(Data!M127)), Data!M127+Data!N127, NA())</f>
        <v>#N/A</v>
      </c>
      <c r="Y125" s="1" t="e">
        <f>IF(NOT(ISBLANK(Data!Q127)), Data!Q127+Data!R127, NA())</f>
        <v>#N/A</v>
      </c>
    </row>
    <row r="126" spans="18:25" x14ac:dyDescent="0.25">
      <c r="R126" s="1">
        <f t="shared" ref="R126" si="88">IF(R125=10000, 10000, 0)</f>
        <v>0</v>
      </c>
      <c r="W126" s="1" t="e">
        <f>IF(NOT(ISBLANK(Data!H128)), Data!H128+Data!I128, NA())</f>
        <v>#N/A</v>
      </c>
      <c r="X126" s="1" t="e">
        <f>IF(NOT(ISBLANK(Data!M128)), Data!M128+Data!N128, NA())</f>
        <v>#N/A</v>
      </c>
      <c r="Y126" s="1" t="e">
        <f>IF(NOT(ISBLANK(Data!Q128)), Data!Q128+Data!R128, NA())</f>
        <v>#N/A</v>
      </c>
    </row>
    <row r="127" spans="18:25" x14ac:dyDescent="0.25">
      <c r="R127" s="1">
        <f t="shared" ref="R127" si="89">IF(R126=10000, 0, 10000)</f>
        <v>10000</v>
      </c>
      <c r="W127" s="1" t="e">
        <f>IF(NOT(ISBLANK(Data!H129)), Data!H129+Data!I129, NA())</f>
        <v>#N/A</v>
      </c>
      <c r="X127" s="1" t="e">
        <f>IF(NOT(ISBLANK(Data!M129)), Data!M129+Data!N129, NA())</f>
        <v>#N/A</v>
      </c>
      <c r="Y127" s="1" t="e">
        <f>IF(NOT(ISBLANK(Data!Q129)), Data!Q129+Data!R129, NA())</f>
        <v>#N/A</v>
      </c>
    </row>
    <row r="128" spans="18:25" x14ac:dyDescent="0.25">
      <c r="R128" s="1">
        <f t="shared" ref="R128" si="90">IF(R127=10000, 10000, 0)</f>
        <v>10000</v>
      </c>
      <c r="W128" s="1" t="e">
        <f>IF(NOT(ISBLANK(Data!H130)), Data!H130+Data!I130, NA())</f>
        <v>#N/A</v>
      </c>
      <c r="X128" s="1" t="e">
        <f>IF(NOT(ISBLANK(Data!M130)), Data!M130+Data!N130, NA())</f>
        <v>#N/A</v>
      </c>
      <c r="Y128" s="1" t="e">
        <f>IF(NOT(ISBLANK(Data!Q130)), Data!Q130+Data!R130, NA())</f>
        <v>#N/A</v>
      </c>
    </row>
    <row r="129" spans="18:25" x14ac:dyDescent="0.25">
      <c r="R129" s="1">
        <f t="shared" ref="R129" si="91">IF(R128=10000, 0, 10000)</f>
        <v>0</v>
      </c>
      <c r="W129" s="1" t="e">
        <f>IF(NOT(ISBLANK(Data!H131)), Data!H131+Data!I131, NA())</f>
        <v>#N/A</v>
      </c>
      <c r="X129" s="1" t="e">
        <f>IF(NOT(ISBLANK(Data!M131)), Data!M131+Data!N131, NA())</f>
        <v>#N/A</v>
      </c>
      <c r="Y129" s="1" t="e">
        <f>IF(NOT(ISBLANK(Data!Q131)), Data!Q131+Data!R131, NA())</f>
        <v>#N/A</v>
      </c>
    </row>
    <row r="130" spans="18:25" x14ac:dyDescent="0.25">
      <c r="R130" s="1">
        <f t="shared" ref="R130" si="92">IF(R129=10000, 10000, 0)</f>
        <v>0</v>
      </c>
      <c r="W130" s="1" t="e">
        <f>IF(NOT(ISBLANK(Data!H132)), Data!H132+Data!I132, NA())</f>
        <v>#N/A</v>
      </c>
      <c r="X130" s="1" t="e">
        <f>IF(NOT(ISBLANK(Data!M132)), Data!M132+Data!N132, NA())</f>
        <v>#N/A</v>
      </c>
      <c r="Y130" s="1" t="e">
        <f>IF(NOT(ISBLANK(Data!Q132)), Data!Q132+Data!R132, NA())</f>
        <v>#N/A</v>
      </c>
    </row>
    <row r="131" spans="18:25" x14ac:dyDescent="0.25">
      <c r="R131" s="1">
        <f t="shared" ref="R131" si="93">IF(R130=10000, 0, 10000)</f>
        <v>10000</v>
      </c>
      <c r="W131" s="1" t="e">
        <f>IF(NOT(ISBLANK(Data!H133)), Data!H133+Data!I133, NA())</f>
        <v>#N/A</v>
      </c>
      <c r="X131" s="1" t="e">
        <f>IF(NOT(ISBLANK(Data!M133)), Data!M133+Data!N133, NA())</f>
        <v>#N/A</v>
      </c>
      <c r="Y131" s="1" t="e">
        <f>IF(NOT(ISBLANK(Data!Q133)), Data!Q133+Data!R133, NA())</f>
        <v>#N/A</v>
      </c>
    </row>
    <row r="132" spans="18:25" x14ac:dyDescent="0.25">
      <c r="R132" s="1">
        <f t="shared" ref="R132" si="94">IF(R131=10000, 10000, 0)</f>
        <v>10000</v>
      </c>
      <c r="W132" s="1" t="e">
        <f>IF(NOT(ISBLANK(Data!H134)), Data!H134+Data!I134, NA())</f>
        <v>#N/A</v>
      </c>
      <c r="X132" s="1" t="e">
        <f>IF(NOT(ISBLANK(Data!M134)), Data!M134+Data!N134, NA())</f>
        <v>#N/A</v>
      </c>
      <c r="Y132" s="1" t="e">
        <f>IF(NOT(ISBLANK(Data!Q134)), Data!Q134+Data!R134, NA())</f>
        <v>#N/A</v>
      </c>
    </row>
    <row r="133" spans="18:25" x14ac:dyDescent="0.25">
      <c r="R133" s="1">
        <f t="shared" ref="R133" si="95">IF(R132=10000, 0, 10000)</f>
        <v>0</v>
      </c>
      <c r="W133" s="1" t="e">
        <f>IF(NOT(ISBLANK(Data!H135)), Data!H135+Data!I135, NA())</f>
        <v>#N/A</v>
      </c>
      <c r="X133" s="1" t="e">
        <f>IF(NOT(ISBLANK(Data!M135)), Data!M135+Data!N135, NA())</f>
        <v>#N/A</v>
      </c>
      <c r="Y133" s="1" t="e">
        <f>IF(NOT(ISBLANK(Data!Q135)), Data!Q135+Data!R135, NA())</f>
        <v>#N/A</v>
      </c>
    </row>
    <row r="134" spans="18:25" x14ac:dyDescent="0.25">
      <c r="R134" s="1">
        <f t="shared" ref="R134" si="96">IF(R133=10000, 10000, 0)</f>
        <v>0</v>
      </c>
      <c r="W134" s="1" t="e">
        <f>IF(NOT(ISBLANK(Data!H136)), Data!H136+Data!I136, NA())</f>
        <v>#N/A</v>
      </c>
      <c r="X134" s="1" t="e">
        <f>IF(NOT(ISBLANK(Data!M136)), Data!M136+Data!N136, NA())</f>
        <v>#N/A</v>
      </c>
      <c r="Y134" s="1" t="e">
        <f>IF(NOT(ISBLANK(Data!Q136)), Data!Q136+Data!R136, NA())</f>
        <v>#N/A</v>
      </c>
    </row>
    <row r="135" spans="18:25" x14ac:dyDescent="0.25">
      <c r="R135" s="1">
        <f t="shared" ref="R135" si="97">IF(R134=10000, 0, 10000)</f>
        <v>10000</v>
      </c>
      <c r="W135" s="1" t="e">
        <f>IF(NOT(ISBLANK(Data!H137)), Data!H137+Data!I137, NA())</f>
        <v>#N/A</v>
      </c>
      <c r="X135" s="1" t="e">
        <f>IF(NOT(ISBLANK(Data!M137)), Data!M137+Data!N137, NA())</f>
        <v>#N/A</v>
      </c>
      <c r="Y135" s="1" t="e">
        <f>IF(NOT(ISBLANK(Data!Q137)), Data!Q137+Data!R137, NA())</f>
        <v>#N/A</v>
      </c>
    </row>
    <row r="136" spans="18:25" x14ac:dyDescent="0.25">
      <c r="R136" s="1">
        <f t="shared" ref="R136" si="98">IF(R135=10000, 10000, 0)</f>
        <v>10000</v>
      </c>
      <c r="W136" s="1" t="e">
        <f>IF(NOT(ISBLANK(Data!H138)), Data!H138+Data!I138, NA())</f>
        <v>#N/A</v>
      </c>
      <c r="X136" s="1" t="e">
        <f>IF(NOT(ISBLANK(Data!M138)), Data!M138+Data!N138, NA())</f>
        <v>#N/A</v>
      </c>
      <c r="Y136" s="1" t="e">
        <f>IF(NOT(ISBLANK(Data!Q138)), Data!Q138+Data!R138, NA())</f>
        <v>#N/A</v>
      </c>
    </row>
    <row r="137" spans="18:25" x14ac:dyDescent="0.25">
      <c r="R137" s="1">
        <f t="shared" ref="R137" si="99">IF(R136=10000, 0, 10000)</f>
        <v>0</v>
      </c>
      <c r="W137" s="1" t="e">
        <f>IF(NOT(ISBLANK(Data!H139)), Data!H139+Data!I139, NA())</f>
        <v>#N/A</v>
      </c>
      <c r="X137" s="1" t="e">
        <f>IF(NOT(ISBLANK(Data!M139)), Data!M139+Data!N139, NA())</f>
        <v>#N/A</v>
      </c>
      <c r="Y137" s="1" t="e">
        <f>IF(NOT(ISBLANK(Data!Q139)), Data!Q139+Data!R139, NA())</f>
        <v>#N/A</v>
      </c>
    </row>
    <row r="138" spans="18:25" x14ac:dyDescent="0.25">
      <c r="R138" s="1">
        <f t="shared" ref="R138" si="100">IF(R137=10000, 10000, 0)</f>
        <v>0</v>
      </c>
      <c r="W138" s="1" t="e">
        <f>IF(NOT(ISBLANK(Data!H140)), Data!H140+Data!I140, NA())</f>
        <v>#N/A</v>
      </c>
      <c r="X138" s="1" t="e">
        <f>IF(NOT(ISBLANK(Data!M140)), Data!M140+Data!N140, NA())</f>
        <v>#N/A</v>
      </c>
      <c r="Y138" s="1" t="e">
        <f>IF(NOT(ISBLANK(Data!Q140)), Data!Q140+Data!R140, NA())</f>
        <v>#N/A</v>
      </c>
    </row>
    <row r="139" spans="18:25" x14ac:dyDescent="0.25">
      <c r="R139" s="1">
        <f t="shared" ref="R139" si="101">IF(R138=10000, 0, 10000)</f>
        <v>10000</v>
      </c>
      <c r="W139" s="1" t="e">
        <f>IF(NOT(ISBLANK(Data!H141)), Data!H141+Data!I141, NA())</f>
        <v>#N/A</v>
      </c>
      <c r="X139" s="1" t="e">
        <f>IF(NOT(ISBLANK(Data!M141)), Data!M141+Data!N141, NA())</f>
        <v>#N/A</v>
      </c>
      <c r="Y139" s="1" t="e">
        <f>IF(NOT(ISBLANK(Data!Q141)), Data!Q141+Data!R141, NA())</f>
        <v>#N/A</v>
      </c>
    </row>
    <row r="140" spans="18:25" x14ac:dyDescent="0.25">
      <c r="R140" s="1">
        <f t="shared" ref="R140" si="102">IF(R139=10000, 10000, 0)</f>
        <v>10000</v>
      </c>
      <c r="W140" s="1" t="e">
        <f>IF(NOT(ISBLANK(Data!H142)), Data!H142+Data!I142, NA())</f>
        <v>#N/A</v>
      </c>
      <c r="X140" s="1" t="e">
        <f>IF(NOT(ISBLANK(Data!M142)), Data!M142+Data!N142, NA())</f>
        <v>#N/A</v>
      </c>
      <c r="Y140" s="1" t="e">
        <f>IF(NOT(ISBLANK(Data!Q142)), Data!Q142+Data!R142, NA())</f>
        <v>#N/A</v>
      </c>
    </row>
    <row r="141" spans="18:25" x14ac:dyDescent="0.25">
      <c r="R141" s="1">
        <f t="shared" ref="R141" si="103">IF(R140=10000, 0, 10000)</f>
        <v>0</v>
      </c>
      <c r="W141" s="1" t="e">
        <f>IF(NOT(ISBLANK(Data!H143)), Data!H143+Data!I143, NA())</f>
        <v>#N/A</v>
      </c>
      <c r="X141" s="1" t="e">
        <f>IF(NOT(ISBLANK(Data!M143)), Data!M143+Data!N143, NA())</f>
        <v>#N/A</v>
      </c>
      <c r="Y141" s="1" t="e">
        <f>IF(NOT(ISBLANK(Data!Q143)), Data!Q143+Data!R143, NA())</f>
        <v>#N/A</v>
      </c>
    </row>
    <row r="142" spans="18:25" x14ac:dyDescent="0.25">
      <c r="R142" s="1">
        <f t="shared" ref="R142" si="104">IF(R141=10000, 10000, 0)</f>
        <v>0</v>
      </c>
      <c r="W142" s="1" t="e">
        <f>IF(NOT(ISBLANK(Data!H144)), Data!H144+Data!I144, NA())</f>
        <v>#N/A</v>
      </c>
      <c r="X142" s="1" t="e">
        <f>IF(NOT(ISBLANK(Data!M144)), Data!M144+Data!N144, NA())</f>
        <v>#N/A</v>
      </c>
      <c r="Y142" s="1" t="e">
        <f>IF(NOT(ISBLANK(Data!Q144)), Data!Q144+Data!R144, NA())</f>
        <v>#N/A</v>
      </c>
    </row>
    <row r="143" spans="18:25" x14ac:dyDescent="0.25">
      <c r="R143" s="1">
        <f t="shared" ref="R143" si="105">IF(R142=10000, 0, 10000)</f>
        <v>10000</v>
      </c>
      <c r="W143" s="1" t="e">
        <f>IF(NOT(ISBLANK(Data!H145)), Data!H145+Data!I145, NA())</f>
        <v>#N/A</v>
      </c>
      <c r="X143" s="1" t="e">
        <f>IF(NOT(ISBLANK(Data!M145)), Data!M145+Data!N145, NA())</f>
        <v>#N/A</v>
      </c>
      <c r="Y143" s="1" t="e">
        <f>IF(NOT(ISBLANK(Data!Q145)), Data!Q145+Data!R145, NA())</f>
        <v>#N/A</v>
      </c>
    </row>
    <row r="144" spans="18:25" x14ac:dyDescent="0.25">
      <c r="R144" s="1">
        <f t="shared" ref="R144" si="106">IF(R143=10000, 10000, 0)</f>
        <v>10000</v>
      </c>
      <c r="W144" s="1" t="e">
        <f>IF(NOT(ISBLANK(Data!H146)), Data!H146+Data!I146, NA())</f>
        <v>#N/A</v>
      </c>
      <c r="X144" s="1" t="e">
        <f>IF(NOT(ISBLANK(Data!M146)), Data!M146+Data!N146, NA())</f>
        <v>#N/A</v>
      </c>
      <c r="Y144" s="1" t="e">
        <f>IF(NOT(ISBLANK(Data!Q146)), Data!Q146+Data!R146, NA())</f>
        <v>#N/A</v>
      </c>
    </row>
    <row r="145" spans="18:25" x14ac:dyDescent="0.25">
      <c r="R145" s="1">
        <f t="shared" ref="R145" si="107">IF(R144=10000, 0, 10000)</f>
        <v>0</v>
      </c>
      <c r="W145" s="1" t="e">
        <f>IF(NOT(ISBLANK(Data!H147)), Data!H147+Data!I147, NA())</f>
        <v>#N/A</v>
      </c>
      <c r="X145" s="1" t="e">
        <f>IF(NOT(ISBLANK(Data!M147)), Data!M147+Data!N147, NA())</f>
        <v>#N/A</v>
      </c>
      <c r="Y145" s="1" t="e">
        <f>IF(NOT(ISBLANK(Data!Q147)), Data!Q147+Data!R147, NA())</f>
        <v>#N/A</v>
      </c>
    </row>
    <row r="146" spans="18:25" x14ac:dyDescent="0.25">
      <c r="R146" s="1">
        <f t="shared" ref="R146" si="108">IF(R145=10000, 10000, 0)</f>
        <v>0</v>
      </c>
      <c r="W146" s="1" t="e">
        <f>IF(NOT(ISBLANK(Data!H148)), Data!H148+Data!I148, NA())</f>
        <v>#N/A</v>
      </c>
      <c r="X146" s="1" t="e">
        <f>IF(NOT(ISBLANK(Data!M148)), Data!M148+Data!N148, NA())</f>
        <v>#N/A</v>
      </c>
      <c r="Y146" s="1" t="e">
        <f>IF(NOT(ISBLANK(Data!Q148)), Data!Q148+Data!R148, NA())</f>
        <v>#N/A</v>
      </c>
    </row>
    <row r="147" spans="18:25" x14ac:dyDescent="0.25">
      <c r="R147" s="1">
        <f t="shared" ref="R147" si="109">IF(R146=10000, 0, 10000)</f>
        <v>10000</v>
      </c>
      <c r="W147" s="1" t="e">
        <f>IF(NOT(ISBLANK(Data!H149)), Data!H149+Data!I149, NA())</f>
        <v>#N/A</v>
      </c>
      <c r="X147" s="1" t="e">
        <f>IF(NOT(ISBLANK(Data!M149)), Data!M149+Data!N149, NA())</f>
        <v>#N/A</v>
      </c>
      <c r="Y147" s="1" t="e">
        <f>IF(NOT(ISBLANK(Data!Q149)), Data!Q149+Data!R149, NA())</f>
        <v>#N/A</v>
      </c>
    </row>
    <row r="148" spans="18:25" x14ac:dyDescent="0.25">
      <c r="R148" s="1">
        <f t="shared" ref="R148" si="110">IF(R147=10000, 10000, 0)</f>
        <v>10000</v>
      </c>
      <c r="W148" s="1" t="e">
        <f>IF(NOT(ISBLANK(Data!H150)), Data!H150+Data!I150, NA())</f>
        <v>#N/A</v>
      </c>
      <c r="X148" s="1" t="e">
        <f>IF(NOT(ISBLANK(Data!M150)), Data!M150+Data!N150, NA())</f>
        <v>#N/A</v>
      </c>
      <c r="Y148" s="1" t="e">
        <f>IF(NOT(ISBLANK(Data!Q150)), Data!Q150+Data!R150, NA())</f>
        <v>#N/A</v>
      </c>
    </row>
    <row r="149" spans="18:25" x14ac:dyDescent="0.25">
      <c r="R149" s="1">
        <f t="shared" ref="R149" si="111">IF(R148=10000, 0, 10000)</f>
        <v>0</v>
      </c>
      <c r="W149" s="1" t="e">
        <f>IF(NOT(ISBLANK(Data!H151)), Data!H151+Data!I151, NA())</f>
        <v>#N/A</v>
      </c>
      <c r="X149" s="1" t="e">
        <f>IF(NOT(ISBLANK(Data!M151)), Data!M151+Data!N151, NA())</f>
        <v>#N/A</v>
      </c>
      <c r="Y149" s="1" t="e">
        <f>IF(NOT(ISBLANK(Data!Q151)), Data!Q151+Data!R151, NA())</f>
        <v>#N/A</v>
      </c>
    </row>
    <row r="150" spans="18:25" x14ac:dyDescent="0.25">
      <c r="R150" s="1">
        <f t="shared" ref="R150" si="112">IF(R149=10000, 10000, 0)</f>
        <v>0</v>
      </c>
      <c r="W150" s="1" t="e">
        <f>IF(NOT(ISBLANK(Data!H152)), Data!H152+Data!I152, NA())</f>
        <v>#N/A</v>
      </c>
      <c r="X150" s="1" t="e">
        <f>IF(NOT(ISBLANK(Data!M152)), Data!M152+Data!N152, NA())</f>
        <v>#N/A</v>
      </c>
      <c r="Y150" s="1" t="e">
        <f>IF(NOT(ISBLANK(Data!Q152)), Data!Q152+Data!R152, NA())</f>
        <v>#N/A</v>
      </c>
    </row>
    <row r="151" spans="18:25" x14ac:dyDescent="0.25">
      <c r="R151" s="1">
        <f t="shared" ref="R151" si="113">IF(R150=10000, 0, 10000)</f>
        <v>10000</v>
      </c>
      <c r="W151" s="1" t="e">
        <f>IF(NOT(ISBLANK(Data!H153)), Data!H153+Data!I153, NA())</f>
        <v>#N/A</v>
      </c>
      <c r="X151" s="1" t="e">
        <f>IF(NOT(ISBLANK(Data!M153)), Data!M153+Data!N153, NA())</f>
        <v>#N/A</v>
      </c>
      <c r="Y151" s="1" t="e">
        <f>IF(NOT(ISBLANK(Data!Q153)), Data!Q153+Data!R153, NA())</f>
        <v>#N/A</v>
      </c>
    </row>
    <row r="152" spans="18:25" x14ac:dyDescent="0.25">
      <c r="R152" s="1">
        <f t="shared" ref="R152" si="114">IF(R151=10000, 10000, 0)</f>
        <v>10000</v>
      </c>
      <c r="W152" s="1" t="e">
        <f>IF(NOT(ISBLANK(Data!H154)), Data!H154+Data!I154, NA())</f>
        <v>#N/A</v>
      </c>
      <c r="X152" s="1" t="e">
        <f>IF(NOT(ISBLANK(Data!M154)), Data!M154+Data!N154, NA())</f>
        <v>#N/A</v>
      </c>
      <c r="Y152" s="1" t="e">
        <f>IF(NOT(ISBLANK(Data!Q154)), Data!Q154+Data!R154, NA())</f>
        <v>#N/A</v>
      </c>
    </row>
    <row r="153" spans="18:25" x14ac:dyDescent="0.25">
      <c r="R153" s="1">
        <f t="shared" ref="R153" si="115">IF(R152=10000, 0, 10000)</f>
        <v>0</v>
      </c>
      <c r="W153" s="1" t="e">
        <f>IF(NOT(ISBLANK(Data!H155)), Data!H155+Data!I155, NA())</f>
        <v>#N/A</v>
      </c>
      <c r="X153" s="1" t="e">
        <f>IF(NOT(ISBLANK(Data!M155)), Data!M155+Data!N155, NA())</f>
        <v>#N/A</v>
      </c>
      <c r="Y153" s="1" t="e">
        <f>IF(NOT(ISBLANK(Data!Q155)), Data!Q155+Data!R155, NA())</f>
        <v>#N/A</v>
      </c>
    </row>
    <row r="154" spans="18:25" x14ac:dyDescent="0.25">
      <c r="R154" s="1">
        <f t="shared" ref="R154" si="116">IF(R153=10000, 10000, 0)</f>
        <v>0</v>
      </c>
      <c r="W154" s="1" t="e">
        <f>IF(NOT(ISBLANK(Data!H156)), Data!H156+Data!I156, NA())</f>
        <v>#N/A</v>
      </c>
      <c r="X154" s="1" t="e">
        <f>IF(NOT(ISBLANK(Data!M156)), Data!M156+Data!N156, NA())</f>
        <v>#N/A</v>
      </c>
      <c r="Y154" s="1" t="e">
        <f>IF(NOT(ISBLANK(Data!Q156)), Data!Q156+Data!R156, NA())</f>
        <v>#N/A</v>
      </c>
    </row>
    <row r="155" spans="18:25" x14ac:dyDescent="0.25">
      <c r="R155" s="1">
        <f t="shared" ref="R155" si="117">IF(R154=10000, 0, 10000)</f>
        <v>10000</v>
      </c>
      <c r="W155" s="1" t="e">
        <f>IF(NOT(ISBLANK(Data!H157)), Data!H157+Data!I157, NA())</f>
        <v>#N/A</v>
      </c>
      <c r="X155" s="1" t="e">
        <f>IF(NOT(ISBLANK(Data!M157)), Data!M157+Data!N157, NA())</f>
        <v>#N/A</v>
      </c>
      <c r="Y155" s="1" t="e">
        <f>IF(NOT(ISBLANK(Data!Q157)), Data!Q157+Data!R157, NA())</f>
        <v>#N/A</v>
      </c>
    </row>
    <row r="156" spans="18:25" x14ac:dyDescent="0.25">
      <c r="R156" s="1">
        <f t="shared" ref="R156" si="118">IF(R155=10000, 10000, 0)</f>
        <v>10000</v>
      </c>
      <c r="W156" s="1" t="e">
        <f>IF(NOT(ISBLANK(Data!H158)), Data!H158+Data!I158, NA())</f>
        <v>#N/A</v>
      </c>
      <c r="X156" s="1" t="e">
        <f>IF(NOT(ISBLANK(Data!M158)), Data!M158+Data!N158, NA())</f>
        <v>#N/A</v>
      </c>
      <c r="Y156" s="1" t="e">
        <f>IF(NOT(ISBLANK(Data!Q158)), Data!Q158+Data!R158, NA())</f>
        <v>#N/A</v>
      </c>
    </row>
    <row r="157" spans="18:25" x14ac:dyDescent="0.25">
      <c r="R157" s="1">
        <f t="shared" ref="R157" si="119">IF(R156=10000, 0, 10000)</f>
        <v>0</v>
      </c>
      <c r="W157" s="1" t="e">
        <f>IF(NOT(ISBLANK(Data!H159)), Data!H159+Data!I159, NA())</f>
        <v>#N/A</v>
      </c>
      <c r="X157" s="1" t="e">
        <f>IF(NOT(ISBLANK(Data!M159)), Data!M159+Data!N159, NA())</f>
        <v>#N/A</v>
      </c>
      <c r="Y157" s="1" t="e">
        <f>IF(NOT(ISBLANK(Data!Q159)), Data!Q159+Data!R159, NA())</f>
        <v>#N/A</v>
      </c>
    </row>
    <row r="158" spans="18:25" x14ac:dyDescent="0.25">
      <c r="R158" s="1">
        <f t="shared" ref="R158" si="120">IF(R157=10000, 10000, 0)</f>
        <v>0</v>
      </c>
      <c r="W158" s="1" t="e">
        <f>IF(NOT(ISBLANK(Data!H160)), Data!H160+Data!I160, NA())</f>
        <v>#N/A</v>
      </c>
      <c r="X158" s="1" t="e">
        <f>IF(NOT(ISBLANK(Data!M160)), Data!M160+Data!N160, NA())</f>
        <v>#N/A</v>
      </c>
      <c r="Y158" s="1" t="e">
        <f>IF(NOT(ISBLANK(Data!Q160)), Data!Q160+Data!R160, NA())</f>
        <v>#N/A</v>
      </c>
    </row>
    <row r="159" spans="18:25" x14ac:dyDescent="0.25">
      <c r="R159" s="1">
        <f t="shared" ref="R159" si="121">IF(R158=10000, 0, 10000)</f>
        <v>10000</v>
      </c>
      <c r="W159" s="1" t="e">
        <f>IF(NOT(ISBLANK(Data!H161)), Data!H161+Data!I161, NA())</f>
        <v>#N/A</v>
      </c>
      <c r="X159" s="1" t="e">
        <f>IF(NOT(ISBLANK(Data!M161)), Data!M161+Data!N161, NA())</f>
        <v>#N/A</v>
      </c>
      <c r="Y159" s="1" t="e">
        <f>IF(NOT(ISBLANK(Data!Q161)), Data!Q161+Data!R161, NA())</f>
        <v>#N/A</v>
      </c>
    </row>
    <row r="160" spans="18:25" x14ac:dyDescent="0.25">
      <c r="R160" s="1">
        <f t="shared" ref="R160" si="122">IF(R159=10000, 10000, 0)</f>
        <v>10000</v>
      </c>
      <c r="W160" s="1" t="e">
        <f>IF(NOT(ISBLANK(Data!H162)), Data!H162+Data!I162, NA())</f>
        <v>#N/A</v>
      </c>
      <c r="X160" s="1" t="e">
        <f>IF(NOT(ISBLANK(Data!M162)), Data!M162+Data!N162, NA())</f>
        <v>#N/A</v>
      </c>
      <c r="Y160" s="1" t="e">
        <f>IF(NOT(ISBLANK(Data!Q162)), Data!Q162+Data!R162, NA())</f>
        <v>#N/A</v>
      </c>
    </row>
    <row r="161" spans="18:25" x14ac:dyDescent="0.25">
      <c r="R161" s="1">
        <f t="shared" ref="R161" si="123">IF(R160=10000, 0, 10000)</f>
        <v>0</v>
      </c>
      <c r="W161" s="1" t="e">
        <f>IF(NOT(ISBLANK(Data!H163)), Data!H163+Data!I163, NA())</f>
        <v>#N/A</v>
      </c>
      <c r="X161" s="1" t="e">
        <f>IF(NOT(ISBLANK(Data!M163)), Data!M163+Data!N163, NA())</f>
        <v>#N/A</v>
      </c>
      <c r="Y161" s="1" t="e">
        <f>IF(NOT(ISBLANK(Data!Q163)), Data!Q163+Data!R163, NA())</f>
        <v>#N/A</v>
      </c>
    </row>
    <row r="162" spans="18:25" x14ac:dyDescent="0.25">
      <c r="R162" s="1">
        <f t="shared" ref="R162" si="124">IF(R161=10000, 10000, 0)</f>
        <v>0</v>
      </c>
      <c r="W162" s="1" t="e">
        <f>IF(NOT(ISBLANK(Data!H164)), Data!H164+Data!I164, NA())</f>
        <v>#N/A</v>
      </c>
      <c r="X162" s="1" t="e">
        <f>IF(NOT(ISBLANK(Data!M164)), Data!M164+Data!N164, NA())</f>
        <v>#N/A</v>
      </c>
      <c r="Y162" s="1" t="e">
        <f>IF(NOT(ISBLANK(Data!Q164)), Data!Q164+Data!R164, NA())</f>
        <v>#N/A</v>
      </c>
    </row>
    <row r="163" spans="18:25" x14ac:dyDescent="0.25">
      <c r="R163" s="1">
        <f t="shared" ref="R163" si="125">IF(R162=10000, 0, 10000)</f>
        <v>10000</v>
      </c>
      <c r="W163" s="1" t="e">
        <f>IF(NOT(ISBLANK(Data!H165)), Data!H165+Data!I165, NA())</f>
        <v>#N/A</v>
      </c>
      <c r="X163" s="1" t="e">
        <f>IF(NOT(ISBLANK(Data!M165)), Data!M165+Data!N165, NA())</f>
        <v>#N/A</v>
      </c>
      <c r="Y163" s="1" t="e">
        <f>IF(NOT(ISBLANK(Data!Q165)), Data!Q165+Data!R165, NA())</f>
        <v>#N/A</v>
      </c>
    </row>
    <row r="164" spans="18:25" x14ac:dyDescent="0.25">
      <c r="R164" s="1">
        <f t="shared" ref="R164" si="126">IF(R163=10000, 10000, 0)</f>
        <v>10000</v>
      </c>
      <c r="W164" s="1" t="e">
        <f>IF(NOT(ISBLANK(Data!H166)), Data!H166+Data!I166, NA())</f>
        <v>#N/A</v>
      </c>
      <c r="X164" s="1" t="e">
        <f>IF(NOT(ISBLANK(Data!M166)), Data!M166+Data!N166, NA())</f>
        <v>#N/A</v>
      </c>
      <c r="Y164" s="1" t="e">
        <f>IF(NOT(ISBLANK(Data!Q166)), Data!Q166+Data!R166, NA())</f>
        <v>#N/A</v>
      </c>
    </row>
    <row r="165" spans="18:25" x14ac:dyDescent="0.25">
      <c r="R165" s="1">
        <f t="shared" ref="R165" si="127">IF(R164=10000, 0, 10000)</f>
        <v>0</v>
      </c>
      <c r="W165" s="1" t="e">
        <f>IF(NOT(ISBLANK(Data!H167)), Data!H167+Data!I167, NA())</f>
        <v>#N/A</v>
      </c>
      <c r="X165" s="1" t="e">
        <f>IF(NOT(ISBLANK(Data!M167)), Data!M167+Data!N167, NA())</f>
        <v>#N/A</v>
      </c>
      <c r="Y165" s="1" t="e">
        <f>IF(NOT(ISBLANK(Data!Q167)), Data!Q167+Data!R167, NA())</f>
        <v>#N/A</v>
      </c>
    </row>
    <row r="166" spans="18:25" x14ac:dyDescent="0.25">
      <c r="R166" s="1">
        <f t="shared" ref="R166" si="128">IF(R165=10000, 10000, 0)</f>
        <v>0</v>
      </c>
      <c r="W166" s="1" t="e">
        <f>IF(NOT(ISBLANK(Data!H168)), Data!H168+Data!I168, NA())</f>
        <v>#N/A</v>
      </c>
      <c r="X166" s="1" t="e">
        <f>IF(NOT(ISBLANK(Data!M168)), Data!M168+Data!N168, NA())</f>
        <v>#N/A</v>
      </c>
      <c r="Y166" s="1" t="e">
        <f>IF(NOT(ISBLANK(Data!Q168)), Data!Q168+Data!R168, NA())</f>
        <v>#N/A</v>
      </c>
    </row>
    <row r="167" spans="18:25" x14ac:dyDescent="0.25">
      <c r="R167" s="1">
        <f t="shared" ref="R167" si="129">IF(R166=10000, 0, 10000)</f>
        <v>10000</v>
      </c>
      <c r="W167" s="1" t="e">
        <f>IF(NOT(ISBLANK(Data!H169)), Data!H169+Data!I169, NA())</f>
        <v>#N/A</v>
      </c>
      <c r="X167" s="1" t="e">
        <f>IF(NOT(ISBLANK(Data!M169)), Data!M169+Data!N169, NA())</f>
        <v>#N/A</v>
      </c>
      <c r="Y167" s="1" t="e">
        <f>IF(NOT(ISBLANK(Data!Q169)), Data!Q169+Data!R169, NA())</f>
        <v>#N/A</v>
      </c>
    </row>
    <row r="168" spans="18:25" x14ac:dyDescent="0.25">
      <c r="R168" s="1">
        <f t="shared" ref="R168" si="130">IF(R167=10000, 10000, 0)</f>
        <v>10000</v>
      </c>
      <c r="W168" s="1" t="e">
        <f>IF(NOT(ISBLANK(Data!H170)), Data!H170+Data!I170, NA())</f>
        <v>#N/A</v>
      </c>
      <c r="X168" s="1" t="e">
        <f>IF(NOT(ISBLANK(Data!M170)), Data!M170+Data!N170, NA())</f>
        <v>#N/A</v>
      </c>
      <c r="Y168" s="1" t="e">
        <f>IF(NOT(ISBLANK(Data!Q170)), Data!Q170+Data!R170, NA())</f>
        <v>#N/A</v>
      </c>
    </row>
    <row r="169" spans="18:25" x14ac:dyDescent="0.25">
      <c r="R169" s="1">
        <f t="shared" ref="R169" si="131">IF(R168=10000, 0, 10000)</f>
        <v>0</v>
      </c>
      <c r="W169" s="1" t="e">
        <f>IF(NOT(ISBLANK(Data!H171)), Data!H171+Data!I171, NA())</f>
        <v>#N/A</v>
      </c>
      <c r="X169" s="1" t="e">
        <f>IF(NOT(ISBLANK(Data!M171)), Data!M171+Data!N171, NA())</f>
        <v>#N/A</v>
      </c>
      <c r="Y169" s="1" t="e">
        <f>IF(NOT(ISBLANK(Data!Q171)), Data!Q171+Data!R171, NA())</f>
        <v>#N/A</v>
      </c>
    </row>
    <row r="170" spans="18:25" x14ac:dyDescent="0.25">
      <c r="R170" s="1">
        <f t="shared" ref="R170" si="132">IF(R169=10000, 10000, 0)</f>
        <v>0</v>
      </c>
      <c r="W170" s="1" t="e">
        <f>IF(NOT(ISBLANK(Data!H172)), Data!H172+Data!I172, NA())</f>
        <v>#N/A</v>
      </c>
      <c r="X170" s="1" t="e">
        <f>IF(NOT(ISBLANK(Data!M172)), Data!M172+Data!N172, NA())</f>
        <v>#N/A</v>
      </c>
      <c r="Y170" s="1" t="e">
        <f>IF(NOT(ISBLANK(Data!Q172)), Data!Q172+Data!R172, NA())</f>
        <v>#N/A</v>
      </c>
    </row>
    <row r="171" spans="18:25" x14ac:dyDescent="0.25">
      <c r="R171" s="1">
        <f t="shared" ref="R171" si="133">IF(R170=10000, 0, 10000)</f>
        <v>10000</v>
      </c>
      <c r="W171" s="1" t="e">
        <f>IF(NOT(ISBLANK(Data!H173)), Data!H173+Data!I173, NA())</f>
        <v>#N/A</v>
      </c>
      <c r="X171" s="1" t="e">
        <f>IF(NOT(ISBLANK(Data!M173)), Data!M173+Data!N173, NA())</f>
        <v>#N/A</v>
      </c>
      <c r="Y171" s="1" t="e">
        <f>IF(NOT(ISBLANK(Data!Q173)), Data!Q173+Data!R173, NA())</f>
        <v>#N/A</v>
      </c>
    </row>
    <row r="172" spans="18:25" x14ac:dyDescent="0.25">
      <c r="R172" s="1">
        <f t="shared" ref="R172" si="134">IF(R171=10000, 10000, 0)</f>
        <v>10000</v>
      </c>
      <c r="W172" s="1" t="e">
        <f>IF(NOT(ISBLANK(Data!H174)), Data!H174+Data!I174, NA())</f>
        <v>#N/A</v>
      </c>
      <c r="X172" s="1" t="e">
        <f>IF(NOT(ISBLANK(Data!M174)), Data!M174+Data!N174, NA())</f>
        <v>#N/A</v>
      </c>
      <c r="Y172" s="1" t="e">
        <f>IF(NOT(ISBLANK(Data!Q174)), Data!Q174+Data!R174, NA())</f>
        <v>#N/A</v>
      </c>
    </row>
    <row r="173" spans="18:25" x14ac:dyDescent="0.25">
      <c r="R173" s="1">
        <f t="shared" ref="R173" si="135">IF(R172=10000, 0, 10000)</f>
        <v>0</v>
      </c>
      <c r="W173" s="1" t="e">
        <f>IF(NOT(ISBLANK(Data!H175)), Data!H175+Data!I175, NA())</f>
        <v>#N/A</v>
      </c>
      <c r="X173" s="1" t="e">
        <f>IF(NOT(ISBLANK(Data!M175)), Data!M175+Data!N175, NA())</f>
        <v>#N/A</v>
      </c>
      <c r="Y173" s="1" t="e">
        <f>IF(NOT(ISBLANK(Data!Q175)), Data!Q175+Data!R175, NA())</f>
        <v>#N/A</v>
      </c>
    </row>
    <row r="174" spans="18:25" x14ac:dyDescent="0.25">
      <c r="R174" s="1">
        <f t="shared" ref="R174" si="136">IF(R173=10000, 10000, 0)</f>
        <v>0</v>
      </c>
      <c r="W174" s="1" t="e">
        <f>IF(NOT(ISBLANK(Data!H176)), Data!H176+Data!I176, NA())</f>
        <v>#N/A</v>
      </c>
      <c r="X174" s="1" t="e">
        <f>IF(NOT(ISBLANK(Data!M176)), Data!M176+Data!N176, NA())</f>
        <v>#N/A</v>
      </c>
      <c r="Y174" s="1" t="e">
        <f>IF(NOT(ISBLANK(Data!Q176)), Data!Q176+Data!R176, NA())</f>
        <v>#N/A</v>
      </c>
    </row>
    <row r="175" spans="18:25" x14ac:dyDescent="0.25">
      <c r="R175" s="1">
        <f t="shared" ref="R175" si="137">IF(R174=10000, 0, 10000)</f>
        <v>10000</v>
      </c>
      <c r="W175" s="1" t="e">
        <f>IF(NOT(ISBLANK(Data!H177)), Data!H177+Data!I177, NA())</f>
        <v>#N/A</v>
      </c>
      <c r="X175" s="1" t="e">
        <f>IF(NOT(ISBLANK(Data!M177)), Data!M177+Data!N177, NA())</f>
        <v>#N/A</v>
      </c>
      <c r="Y175" s="1" t="e">
        <f>IF(NOT(ISBLANK(Data!Q177)), Data!Q177+Data!R177, NA())</f>
        <v>#N/A</v>
      </c>
    </row>
    <row r="176" spans="18:25" x14ac:dyDescent="0.25">
      <c r="R176" s="1">
        <f t="shared" ref="R176" si="138">IF(R175=10000, 10000, 0)</f>
        <v>10000</v>
      </c>
      <c r="W176" s="1" t="e">
        <f>IF(NOT(ISBLANK(Data!H178)), Data!H178+Data!I178, NA())</f>
        <v>#N/A</v>
      </c>
      <c r="X176" s="1" t="e">
        <f>IF(NOT(ISBLANK(Data!M178)), Data!M178+Data!N178, NA())</f>
        <v>#N/A</v>
      </c>
      <c r="Y176" s="1" t="e">
        <f>IF(NOT(ISBLANK(Data!Q178)), Data!Q178+Data!R178, NA())</f>
        <v>#N/A</v>
      </c>
    </row>
    <row r="177" spans="18:25" x14ac:dyDescent="0.25">
      <c r="R177" s="1">
        <f t="shared" ref="R177" si="139">IF(R176=10000, 0, 10000)</f>
        <v>0</v>
      </c>
      <c r="W177" s="1" t="e">
        <f>IF(NOT(ISBLANK(Data!H179)), Data!H179+Data!I179, NA())</f>
        <v>#N/A</v>
      </c>
      <c r="X177" s="1" t="e">
        <f>IF(NOT(ISBLANK(Data!M179)), Data!M179+Data!N179, NA())</f>
        <v>#N/A</v>
      </c>
      <c r="Y177" s="1" t="e">
        <f>IF(NOT(ISBLANK(Data!Q179)), Data!Q179+Data!R179, NA())</f>
        <v>#N/A</v>
      </c>
    </row>
    <row r="178" spans="18:25" x14ac:dyDescent="0.25">
      <c r="R178" s="1">
        <f t="shared" ref="R178" si="140">IF(R177=10000, 10000, 0)</f>
        <v>0</v>
      </c>
      <c r="W178" s="1" t="e">
        <f>IF(NOT(ISBLANK(Data!H180)), Data!H180+Data!I180, NA())</f>
        <v>#N/A</v>
      </c>
      <c r="X178" s="1" t="e">
        <f>IF(NOT(ISBLANK(Data!M180)), Data!M180+Data!N180, NA())</f>
        <v>#N/A</v>
      </c>
      <c r="Y178" s="1" t="e">
        <f>IF(NOT(ISBLANK(Data!Q180)), Data!Q180+Data!R180, NA())</f>
        <v>#N/A</v>
      </c>
    </row>
    <row r="179" spans="18:25" x14ac:dyDescent="0.25">
      <c r="R179" s="1">
        <f t="shared" ref="R179" si="141">IF(R178=10000, 0, 10000)</f>
        <v>10000</v>
      </c>
      <c r="W179" s="1" t="e">
        <f>IF(NOT(ISBLANK(Data!H181)), Data!H181+Data!I181, NA())</f>
        <v>#N/A</v>
      </c>
      <c r="X179" s="1" t="e">
        <f>IF(NOT(ISBLANK(Data!M181)), Data!M181+Data!N181, NA())</f>
        <v>#N/A</v>
      </c>
      <c r="Y179" s="1" t="e">
        <f>IF(NOT(ISBLANK(Data!Q181)), Data!Q181+Data!R181, NA())</f>
        <v>#N/A</v>
      </c>
    </row>
    <row r="180" spans="18:25" x14ac:dyDescent="0.25">
      <c r="R180" s="1">
        <f t="shared" ref="R180" si="142">IF(R179=10000, 10000, 0)</f>
        <v>10000</v>
      </c>
      <c r="W180" s="1" t="e">
        <f>IF(NOT(ISBLANK(Data!H182)), Data!H182+Data!I182, NA())</f>
        <v>#N/A</v>
      </c>
      <c r="X180" s="1" t="e">
        <f>IF(NOT(ISBLANK(Data!M182)), Data!M182+Data!N182, NA())</f>
        <v>#N/A</v>
      </c>
      <c r="Y180" s="1" t="e">
        <f>IF(NOT(ISBLANK(Data!Q182)), Data!Q182+Data!R182, NA())</f>
        <v>#N/A</v>
      </c>
    </row>
    <row r="181" spans="18:25" x14ac:dyDescent="0.25">
      <c r="R181" s="1">
        <f t="shared" ref="R181" si="143">IF(R180=10000, 0, 10000)</f>
        <v>0</v>
      </c>
      <c r="W181" s="1" t="e">
        <f>IF(NOT(ISBLANK(Data!H183)), Data!H183+Data!I183, NA())</f>
        <v>#N/A</v>
      </c>
      <c r="X181" s="1" t="e">
        <f>IF(NOT(ISBLANK(Data!M183)), Data!M183+Data!N183, NA())</f>
        <v>#N/A</v>
      </c>
      <c r="Y181" s="1" t="e">
        <f>IF(NOT(ISBLANK(Data!Q183)), Data!Q183+Data!R183, NA())</f>
        <v>#N/A</v>
      </c>
    </row>
    <row r="182" spans="18:25" x14ac:dyDescent="0.25">
      <c r="R182" s="1">
        <f t="shared" ref="R182" si="144">IF(R181=10000, 10000, 0)</f>
        <v>0</v>
      </c>
      <c r="W182" s="1" t="e">
        <f>IF(NOT(ISBLANK(Data!H184)), Data!H184+Data!I184, NA())</f>
        <v>#N/A</v>
      </c>
      <c r="X182" s="1" t="e">
        <f>IF(NOT(ISBLANK(Data!M184)), Data!M184+Data!N184, NA())</f>
        <v>#N/A</v>
      </c>
      <c r="Y182" s="1" t="e">
        <f>IF(NOT(ISBLANK(Data!Q184)), Data!Q184+Data!R184, NA())</f>
        <v>#N/A</v>
      </c>
    </row>
    <row r="183" spans="18:25" x14ac:dyDescent="0.25">
      <c r="R183" s="1">
        <f t="shared" ref="R183" si="145">IF(R182=10000, 0, 10000)</f>
        <v>10000</v>
      </c>
      <c r="W183" s="1" t="e">
        <f>IF(NOT(ISBLANK(Data!H185)), Data!H185+Data!I185, NA())</f>
        <v>#N/A</v>
      </c>
      <c r="X183" s="1" t="e">
        <f>IF(NOT(ISBLANK(Data!M185)), Data!M185+Data!N185, NA())</f>
        <v>#N/A</v>
      </c>
      <c r="Y183" s="1" t="e">
        <f>IF(NOT(ISBLANK(Data!Q185)), Data!Q185+Data!R185, NA())</f>
        <v>#N/A</v>
      </c>
    </row>
    <row r="184" spans="18:25" x14ac:dyDescent="0.25">
      <c r="R184" s="1">
        <f t="shared" ref="R184" si="146">IF(R183=10000, 10000, 0)</f>
        <v>10000</v>
      </c>
      <c r="W184" s="1" t="e">
        <f>IF(NOT(ISBLANK(Data!H186)), Data!H186+Data!I186, NA())</f>
        <v>#N/A</v>
      </c>
      <c r="X184" s="1" t="e">
        <f>IF(NOT(ISBLANK(Data!M186)), Data!M186+Data!N186, NA())</f>
        <v>#N/A</v>
      </c>
      <c r="Y184" s="1" t="e">
        <f>IF(NOT(ISBLANK(Data!Q186)), Data!Q186+Data!R186, NA())</f>
        <v>#N/A</v>
      </c>
    </row>
    <row r="185" spans="18:25" x14ac:dyDescent="0.25">
      <c r="R185" s="1">
        <f t="shared" ref="R185" si="147">IF(R184=10000, 0, 10000)</f>
        <v>0</v>
      </c>
      <c r="W185" s="1" t="e">
        <f>IF(NOT(ISBLANK(Data!H187)), Data!H187+Data!I187, NA())</f>
        <v>#N/A</v>
      </c>
      <c r="X185" s="1" t="e">
        <f>IF(NOT(ISBLANK(Data!M187)), Data!M187+Data!N187, NA())</f>
        <v>#N/A</v>
      </c>
      <c r="Y185" s="1" t="e">
        <f>IF(NOT(ISBLANK(Data!Q187)), Data!Q187+Data!R187, NA())</f>
        <v>#N/A</v>
      </c>
    </row>
    <row r="186" spans="18:25" x14ac:dyDescent="0.25">
      <c r="R186" s="1">
        <f t="shared" ref="R186" si="148">IF(R185=10000, 10000, 0)</f>
        <v>0</v>
      </c>
      <c r="W186" s="1" t="e">
        <f>IF(NOT(ISBLANK(Data!H188)), Data!H188+Data!I188, NA())</f>
        <v>#N/A</v>
      </c>
      <c r="X186" s="1" t="e">
        <f>IF(NOT(ISBLANK(Data!M188)), Data!M188+Data!N188, NA())</f>
        <v>#N/A</v>
      </c>
      <c r="Y186" s="1" t="e">
        <f>IF(NOT(ISBLANK(Data!Q188)), Data!Q188+Data!R188, NA())</f>
        <v>#N/A</v>
      </c>
    </row>
    <row r="187" spans="18:25" x14ac:dyDescent="0.25">
      <c r="R187" s="1">
        <f t="shared" ref="R187" si="149">IF(R186=10000, 0, 10000)</f>
        <v>10000</v>
      </c>
      <c r="W187" s="1" t="e">
        <f>IF(NOT(ISBLANK(Data!H189)), Data!H189+Data!I189, NA())</f>
        <v>#N/A</v>
      </c>
      <c r="X187" s="1" t="e">
        <f>IF(NOT(ISBLANK(Data!M189)), Data!M189+Data!N189, NA())</f>
        <v>#N/A</v>
      </c>
      <c r="Y187" s="1" t="e">
        <f>IF(NOT(ISBLANK(Data!Q189)), Data!Q189+Data!R189, NA())</f>
        <v>#N/A</v>
      </c>
    </row>
    <row r="188" spans="18:25" x14ac:dyDescent="0.25">
      <c r="R188" s="1">
        <f t="shared" ref="R188" si="150">IF(R187=10000, 10000, 0)</f>
        <v>10000</v>
      </c>
      <c r="W188" s="1" t="e">
        <f>IF(NOT(ISBLANK(Data!H190)), Data!H190+Data!I190, NA())</f>
        <v>#N/A</v>
      </c>
      <c r="X188" s="1" t="e">
        <f>IF(NOT(ISBLANK(Data!M190)), Data!M190+Data!N190, NA())</f>
        <v>#N/A</v>
      </c>
      <c r="Y188" s="1" t="e">
        <f>IF(NOT(ISBLANK(Data!Q190)), Data!Q190+Data!R190, NA())</f>
        <v>#N/A</v>
      </c>
    </row>
    <row r="189" spans="18:25" x14ac:dyDescent="0.25">
      <c r="R189" s="1">
        <f t="shared" ref="R189" si="151">IF(R188=10000, 0, 10000)</f>
        <v>0</v>
      </c>
      <c r="W189" s="1" t="e">
        <f>IF(NOT(ISBLANK(Data!H191)), Data!H191+Data!I191, NA())</f>
        <v>#N/A</v>
      </c>
      <c r="X189" s="1" t="e">
        <f>IF(NOT(ISBLANK(Data!M191)), Data!M191+Data!N191, NA())</f>
        <v>#N/A</v>
      </c>
      <c r="Y189" s="1" t="e">
        <f>IF(NOT(ISBLANK(Data!Q191)), Data!Q191+Data!R191, NA())</f>
        <v>#N/A</v>
      </c>
    </row>
    <row r="190" spans="18:25" x14ac:dyDescent="0.25">
      <c r="R190" s="1">
        <f t="shared" ref="R190" si="152">IF(R189=10000, 10000, 0)</f>
        <v>0</v>
      </c>
      <c r="W190" s="1" t="e">
        <f>IF(NOT(ISBLANK(Data!H192)), Data!H192+Data!I192, NA())</f>
        <v>#N/A</v>
      </c>
      <c r="X190" s="1" t="e">
        <f>IF(NOT(ISBLANK(Data!M192)), Data!M192+Data!N192, NA())</f>
        <v>#N/A</v>
      </c>
      <c r="Y190" s="1" t="e">
        <f>IF(NOT(ISBLANK(Data!Q192)), Data!Q192+Data!R192, NA())</f>
        <v>#N/A</v>
      </c>
    </row>
    <row r="191" spans="18:25" x14ac:dyDescent="0.25">
      <c r="R191" s="1">
        <f t="shared" ref="R191" si="153">IF(R190=10000, 0, 10000)</f>
        <v>10000</v>
      </c>
      <c r="W191" s="1" t="e">
        <f>IF(NOT(ISBLANK(Data!H193)), Data!H193+Data!I193, NA())</f>
        <v>#N/A</v>
      </c>
      <c r="X191" s="1" t="e">
        <f>IF(NOT(ISBLANK(Data!M193)), Data!M193+Data!N193, NA())</f>
        <v>#N/A</v>
      </c>
      <c r="Y191" s="1" t="e">
        <f>IF(NOT(ISBLANK(Data!Q193)), Data!Q193+Data!R193, NA())</f>
        <v>#N/A</v>
      </c>
    </row>
    <row r="192" spans="18:25" x14ac:dyDescent="0.25">
      <c r="R192" s="1">
        <f t="shared" ref="R192" si="154">IF(R191=10000, 10000, 0)</f>
        <v>10000</v>
      </c>
      <c r="W192" s="1" t="e">
        <f>IF(NOT(ISBLANK(Data!H194)), Data!H194+Data!I194, NA())</f>
        <v>#N/A</v>
      </c>
      <c r="X192" s="1" t="e">
        <f>IF(NOT(ISBLANK(Data!M194)), Data!M194+Data!N194, NA())</f>
        <v>#N/A</v>
      </c>
      <c r="Y192" s="1" t="e">
        <f>IF(NOT(ISBLANK(Data!Q194)), Data!Q194+Data!R194, NA())</f>
        <v>#N/A</v>
      </c>
    </row>
    <row r="193" spans="18:25" x14ac:dyDescent="0.25">
      <c r="R193" s="1">
        <f t="shared" ref="R193" si="155">IF(R192=10000, 0, 10000)</f>
        <v>0</v>
      </c>
      <c r="W193" s="1" t="e">
        <f>IF(NOT(ISBLANK(Data!H195)), Data!H195+Data!I195, NA())</f>
        <v>#N/A</v>
      </c>
      <c r="X193" s="1" t="e">
        <f>IF(NOT(ISBLANK(Data!M195)), Data!M195+Data!N195, NA())</f>
        <v>#N/A</v>
      </c>
      <c r="Y193" s="1" t="e">
        <f>IF(NOT(ISBLANK(Data!Q195)), Data!Q195+Data!R195, NA())</f>
        <v>#N/A</v>
      </c>
    </row>
    <row r="194" spans="18:25" x14ac:dyDescent="0.25">
      <c r="R194" s="1">
        <f t="shared" ref="R194" si="156">IF(R193=10000, 10000, 0)</f>
        <v>0</v>
      </c>
      <c r="W194" s="1" t="e">
        <f>IF(NOT(ISBLANK(Data!H196)), Data!H196+Data!I196, NA())</f>
        <v>#N/A</v>
      </c>
      <c r="X194" s="1" t="e">
        <f>IF(NOT(ISBLANK(Data!M196)), Data!M196+Data!N196, NA())</f>
        <v>#N/A</v>
      </c>
      <c r="Y194" s="1" t="e">
        <f>IF(NOT(ISBLANK(Data!Q196)), Data!Q196+Data!R196, NA())</f>
        <v>#N/A</v>
      </c>
    </row>
    <row r="195" spans="18:25" x14ac:dyDescent="0.25">
      <c r="R195" s="1">
        <f t="shared" ref="R195" si="157">IF(R194=10000, 0, 10000)</f>
        <v>10000</v>
      </c>
      <c r="W195" s="1" t="e">
        <f>IF(NOT(ISBLANK(Data!H197)), Data!H197+Data!I197, NA())</f>
        <v>#N/A</v>
      </c>
      <c r="X195" s="1" t="e">
        <f>IF(NOT(ISBLANK(Data!M197)), Data!M197+Data!N197, NA())</f>
        <v>#N/A</v>
      </c>
      <c r="Y195" s="1" t="e">
        <f>IF(NOT(ISBLANK(Data!Q197)), Data!Q197+Data!R197, NA())</f>
        <v>#N/A</v>
      </c>
    </row>
    <row r="196" spans="18:25" x14ac:dyDescent="0.25">
      <c r="R196" s="1">
        <f t="shared" ref="R196" si="158">IF(R195=10000, 10000, 0)</f>
        <v>10000</v>
      </c>
      <c r="W196" s="1" t="e">
        <f>IF(NOT(ISBLANK(Data!H198)), Data!H198+Data!I198, NA())</f>
        <v>#N/A</v>
      </c>
      <c r="X196" s="1" t="e">
        <f>IF(NOT(ISBLANK(Data!M198)), Data!M198+Data!N198, NA())</f>
        <v>#N/A</v>
      </c>
      <c r="Y196" s="1" t="e">
        <f>IF(NOT(ISBLANK(Data!Q198)), Data!Q198+Data!R198, NA())</f>
        <v>#N/A</v>
      </c>
    </row>
    <row r="197" spans="18:25" x14ac:dyDescent="0.25">
      <c r="R197" s="1">
        <f t="shared" ref="R197" si="159">IF(R196=10000, 0, 10000)</f>
        <v>0</v>
      </c>
      <c r="W197" s="1" t="e">
        <f>IF(NOT(ISBLANK(Data!H199)), Data!H199+Data!I199, NA())</f>
        <v>#N/A</v>
      </c>
      <c r="X197" s="1" t="e">
        <f>IF(NOT(ISBLANK(Data!M199)), Data!M199+Data!N199, NA())</f>
        <v>#N/A</v>
      </c>
      <c r="Y197" s="1" t="e">
        <f>IF(NOT(ISBLANK(Data!Q199)), Data!Q199+Data!R199, NA())</f>
        <v>#N/A</v>
      </c>
    </row>
    <row r="198" spans="18:25" x14ac:dyDescent="0.25">
      <c r="R198" s="1">
        <f t="shared" ref="R198" si="160">IF(R197=10000, 10000, 0)</f>
        <v>0</v>
      </c>
      <c r="W198" s="1" t="e">
        <f>IF(NOT(ISBLANK(Data!H200)), Data!H200+Data!I200, NA())</f>
        <v>#N/A</v>
      </c>
      <c r="X198" s="1" t="e">
        <f>IF(NOT(ISBLANK(Data!M200)), Data!M200+Data!N200, NA())</f>
        <v>#N/A</v>
      </c>
      <c r="Y198" s="1" t="e">
        <f>IF(NOT(ISBLANK(Data!Q200)), Data!Q200+Data!R200, NA())</f>
        <v>#N/A</v>
      </c>
    </row>
    <row r="199" spans="18:25" x14ac:dyDescent="0.25">
      <c r="R199" s="1">
        <f t="shared" ref="R199" si="161">IF(R198=10000, 0, 10000)</f>
        <v>10000</v>
      </c>
      <c r="W199" s="1" t="e">
        <f>IF(NOT(ISBLANK(Data!H201)), Data!H201+Data!I201, NA())</f>
        <v>#N/A</v>
      </c>
      <c r="X199" s="1" t="e">
        <f>IF(NOT(ISBLANK(Data!M201)), Data!M201+Data!N201, NA())</f>
        <v>#N/A</v>
      </c>
      <c r="Y199" s="1" t="e">
        <f>IF(NOT(ISBLANK(Data!Q201)), Data!Q201+Data!R201, NA())</f>
        <v>#N/A</v>
      </c>
    </row>
    <row r="200" spans="18:25" x14ac:dyDescent="0.25">
      <c r="R200" s="1">
        <f t="shared" ref="R200" si="162">IF(R199=10000, 10000, 0)</f>
        <v>10000</v>
      </c>
      <c r="W200" s="1" t="e">
        <f>IF(NOT(ISBLANK(Data!H202)), Data!H202+Data!I202, NA())</f>
        <v>#N/A</v>
      </c>
      <c r="X200" s="1" t="e">
        <f>IF(NOT(ISBLANK(Data!M202)), Data!M202+Data!N202, NA())</f>
        <v>#N/A</v>
      </c>
      <c r="Y200" s="1" t="e">
        <f>IF(NOT(ISBLANK(Data!Q202)), Data!Q202+Data!R202, NA())</f>
        <v>#N/A</v>
      </c>
    </row>
    <row r="201" spans="18:25" x14ac:dyDescent="0.25">
      <c r="R201" s="1">
        <f t="shared" ref="R201" si="163">IF(R200=10000, 0, 10000)</f>
        <v>0</v>
      </c>
      <c r="W201" s="1" t="e">
        <f>IF(NOT(ISBLANK(Data!H203)), Data!H203+Data!I203, NA())</f>
        <v>#N/A</v>
      </c>
      <c r="X201" s="1" t="e">
        <f>IF(NOT(ISBLANK(Data!M203)), Data!M203+Data!N203, NA())</f>
        <v>#N/A</v>
      </c>
      <c r="Y201" s="1" t="e">
        <f>IF(NOT(ISBLANK(Data!Q203)), Data!Q203+Data!R203, NA())</f>
        <v>#N/A</v>
      </c>
    </row>
    <row r="202" spans="18:25" x14ac:dyDescent="0.25">
      <c r="R202" s="1">
        <f t="shared" ref="R202" si="164">IF(R201=10000, 10000, 0)</f>
        <v>0</v>
      </c>
      <c r="W202" s="1" t="e">
        <f>IF(NOT(ISBLANK(Data!H204)), Data!H204+Data!I204, NA())</f>
        <v>#N/A</v>
      </c>
      <c r="X202" s="1" t="e">
        <f>IF(NOT(ISBLANK(Data!M204)), Data!M204+Data!N204, NA())</f>
        <v>#N/A</v>
      </c>
      <c r="Y202" s="1" t="e">
        <f>IF(NOT(ISBLANK(Data!Q204)), Data!Q204+Data!R204, NA())</f>
        <v>#N/A</v>
      </c>
    </row>
    <row r="203" spans="18:25" x14ac:dyDescent="0.25">
      <c r="R203" s="1">
        <f t="shared" ref="R203" si="165">IF(R202=10000, 0, 10000)</f>
        <v>10000</v>
      </c>
      <c r="W203" s="1" t="e">
        <f>IF(NOT(ISBLANK(Data!H205)), Data!H205+Data!I205, NA())</f>
        <v>#N/A</v>
      </c>
      <c r="X203" s="1" t="e">
        <f>IF(NOT(ISBLANK(Data!M205)), Data!M205+Data!N205, NA())</f>
        <v>#N/A</v>
      </c>
      <c r="Y203" s="1" t="e">
        <f>IF(NOT(ISBLANK(Data!Q205)), Data!Q205+Data!R205, NA())</f>
        <v>#N/A</v>
      </c>
    </row>
    <row r="204" spans="18:25" x14ac:dyDescent="0.25">
      <c r="R204" s="1">
        <f t="shared" ref="R204" si="166">IF(R203=10000, 10000, 0)</f>
        <v>10000</v>
      </c>
      <c r="W204" s="1" t="e">
        <f>IF(NOT(ISBLANK(Data!H206)), Data!H206+Data!I206, NA())</f>
        <v>#N/A</v>
      </c>
      <c r="X204" s="1" t="e">
        <f>IF(NOT(ISBLANK(Data!M206)), Data!M206+Data!N206, NA())</f>
        <v>#N/A</v>
      </c>
      <c r="Y204" s="1" t="e">
        <f>IF(NOT(ISBLANK(Data!Q206)), Data!Q206+Data!R206, NA())</f>
        <v>#N/A</v>
      </c>
    </row>
    <row r="205" spans="18:25" x14ac:dyDescent="0.25">
      <c r="R205" s="1">
        <f t="shared" ref="R205" si="167">IF(R204=10000, 0, 10000)</f>
        <v>0</v>
      </c>
      <c r="W205" s="1" t="e">
        <f>IF(NOT(ISBLANK(Data!H207)), Data!H207+Data!I207, NA())</f>
        <v>#N/A</v>
      </c>
      <c r="X205" s="1" t="e">
        <f>IF(NOT(ISBLANK(Data!M207)), Data!M207+Data!N207, NA())</f>
        <v>#N/A</v>
      </c>
      <c r="Y205" s="1" t="e">
        <f>IF(NOT(ISBLANK(Data!Q207)), Data!Q207+Data!R207, NA())</f>
        <v>#N/A</v>
      </c>
    </row>
    <row r="206" spans="18:25" x14ac:dyDescent="0.25">
      <c r="R206" s="1">
        <f t="shared" ref="R206" si="168">IF(R205=10000, 10000, 0)</f>
        <v>0</v>
      </c>
      <c r="W206" s="1" t="e">
        <f>IF(NOT(ISBLANK(Data!H208)), Data!H208+Data!I208, NA())</f>
        <v>#N/A</v>
      </c>
      <c r="X206" s="1" t="e">
        <f>IF(NOT(ISBLANK(Data!M208)), Data!M208+Data!N208, NA())</f>
        <v>#N/A</v>
      </c>
      <c r="Y206" s="1" t="e">
        <f>IF(NOT(ISBLANK(Data!Q208)), Data!Q208+Data!R208, NA())</f>
        <v>#N/A</v>
      </c>
    </row>
    <row r="207" spans="18:25" x14ac:dyDescent="0.25">
      <c r="R207" s="1">
        <f t="shared" ref="R207" si="169">IF(R206=10000, 0, 10000)</f>
        <v>10000</v>
      </c>
      <c r="W207" s="1" t="e">
        <f>IF(NOT(ISBLANK(Data!H209)), Data!H209+Data!I209, NA())</f>
        <v>#N/A</v>
      </c>
      <c r="X207" s="1" t="e">
        <f>IF(NOT(ISBLANK(Data!M209)), Data!M209+Data!N209, NA())</f>
        <v>#N/A</v>
      </c>
      <c r="Y207" s="1" t="e">
        <f>IF(NOT(ISBLANK(Data!Q209)), Data!Q209+Data!R209, NA())</f>
        <v>#N/A</v>
      </c>
    </row>
    <row r="208" spans="18:25" x14ac:dyDescent="0.25">
      <c r="R208" s="1">
        <f t="shared" ref="R208" si="170">IF(R207=10000, 10000, 0)</f>
        <v>10000</v>
      </c>
      <c r="W208" s="1" t="e">
        <f>IF(NOT(ISBLANK(Data!H210)), Data!H210+Data!I210, NA())</f>
        <v>#N/A</v>
      </c>
      <c r="X208" s="1" t="e">
        <f>IF(NOT(ISBLANK(Data!M210)), Data!M210+Data!N210, NA())</f>
        <v>#N/A</v>
      </c>
      <c r="Y208" s="1" t="e">
        <f>IF(NOT(ISBLANK(Data!Q210)), Data!Q210+Data!R210, NA())</f>
        <v>#N/A</v>
      </c>
    </row>
    <row r="209" spans="18:25" x14ac:dyDescent="0.25">
      <c r="R209" s="1">
        <f t="shared" ref="R209" si="171">IF(R208=10000, 0, 10000)</f>
        <v>0</v>
      </c>
      <c r="W209" s="1" t="e">
        <f>IF(NOT(ISBLANK(Data!H211)), Data!H211+Data!I211, NA())</f>
        <v>#N/A</v>
      </c>
      <c r="X209" s="1" t="e">
        <f>IF(NOT(ISBLANK(Data!M211)), Data!M211+Data!N211, NA())</f>
        <v>#N/A</v>
      </c>
      <c r="Y209" s="1" t="e">
        <f>IF(NOT(ISBLANK(Data!Q211)), Data!Q211+Data!R211, NA())</f>
        <v>#N/A</v>
      </c>
    </row>
    <row r="210" spans="18:25" x14ac:dyDescent="0.25">
      <c r="R210" s="1">
        <f t="shared" ref="R210" si="172">IF(R209=10000, 10000, 0)</f>
        <v>0</v>
      </c>
      <c r="W210" s="1" t="e">
        <f>IF(NOT(ISBLANK(Data!H212)), Data!H212+Data!I212, NA())</f>
        <v>#N/A</v>
      </c>
      <c r="X210" s="1" t="e">
        <f>IF(NOT(ISBLANK(Data!M212)), Data!M212+Data!N212, NA())</f>
        <v>#N/A</v>
      </c>
      <c r="Y210" s="1" t="e">
        <f>IF(NOT(ISBLANK(Data!Q212)), Data!Q212+Data!R212, NA())</f>
        <v>#N/A</v>
      </c>
    </row>
    <row r="211" spans="18:25" x14ac:dyDescent="0.25">
      <c r="R211" s="1">
        <f t="shared" ref="R211" si="173">IF(R210=10000, 0, 10000)</f>
        <v>10000</v>
      </c>
      <c r="W211" s="1" t="e">
        <f>IF(NOT(ISBLANK(Data!H213)), Data!H213+Data!I213, NA())</f>
        <v>#N/A</v>
      </c>
      <c r="X211" s="1" t="e">
        <f>IF(NOT(ISBLANK(Data!M213)), Data!M213+Data!N213, NA())</f>
        <v>#N/A</v>
      </c>
      <c r="Y211" s="1" t="e">
        <f>IF(NOT(ISBLANK(Data!Q213)), Data!Q213+Data!R213, NA())</f>
        <v>#N/A</v>
      </c>
    </row>
    <row r="212" spans="18:25" x14ac:dyDescent="0.25">
      <c r="R212" s="1">
        <f t="shared" ref="R212" si="174">IF(R211=10000, 10000, 0)</f>
        <v>10000</v>
      </c>
      <c r="W212" s="1" t="e">
        <f>IF(NOT(ISBLANK(Data!H214)), Data!H214+Data!I214, NA())</f>
        <v>#N/A</v>
      </c>
      <c r="X212" s="1" t="e">
        <f>IF(NOT(ISBLANK(Data!M214)), Data!M214+Data!N214, NA())</f>
        <v>#N/A</v>
      </c>
      <c r="Y212" s="1" t="e">
        <f>IF(NOT(ISBLANK(Data!Q214)), Data!Q214+Data!R214, NA())</f>
        <v>#N/A</v>
      </c>
    </row>
    <row r="213" spans="18:25" x14ac:dyDescent="0.25">
      <c r="R213" s="1">
        <f t="shared" ref="R213" si="175">IF(R212=10000, 0, 10000)</f>
        <v>0</v>
      </c>
      <c r="W213" s="1" t="e">
        <f>IF(NOT(ISBLANK(Data!H215)), Data!H215+Data!I215, NA())</f>
        <v>#N/A</v>
      </c>
      <c r="X213" s="1" t="e">
        <f>IF(NOT(ISBLANK(Data!M215)), Data!M215+Data!N215, NA())</f>
        <v>#N/A</v>
      </c>
      <c r="Y213" s="1" t="e">
        <f>IF(NOT(ISBLANK(Data!Q215)), Data!Q215+Data!R215, NA())</f>
        <v>#N/A</v>
      </c>
    </row>
    <row r="214" spans="18:25" x14ac:dyDescent="0.25">
      <c r="R214" s="1">
        <f t="shared" ref="R214" si="176">IF(R213=10000, 10000, 0)</f>
        <v>0</v>
      </c>
      <c r="W214" s="1" t="e">
        <f>IF(NOT(ISBLANK(Data!H216)), Data!H216+Data!I216, NA())</f>
        <v>#N/A</v>
      </c>
      <c r="X214" s="1" t="e">
        <f>IF(NOT(ISBLANK(Data!M216)), Data!M216+Data!N216, NA())</f>
        <v>#N/A</v>
      </c>
      <c r="Y214" s="1" t="e">
        <f>IF(NOT(ISBLANK(Data!Q216)), Data!Q216+Data!R216, NA())</f>
        <v>#N/A</v>
      </c>
    </row>
    <row r="215" spans="18:25" x14ac:dyDescent="0.25">
      <c r="R215" s="1">
        <f t="shared" ref="R215" si="177">IF(R214=10000, 0, 10000)</f>
        <v>10000</v>
      </c>
      <c r="W215" s="1" t="e">
        <f>IF(NOT(ISBLANK(Data!H217)), Data!H217+Data!I217, NA())</f>
        <v>#N/A</v>
      </c>
      <c r="X215" s="1" t="e">
        <f>IF(NOT(ISBLANK(Data!M217)), Data!M217+Data!N217, NA())</f>
        <v>#N/A</v>
      </c>
      <c r="Y215" s="1" t="e">
        <f>IF(NOT(ISBLANK(Data!Q217)), Data!Q217+Data!R217, NA())</f>
        <v>#N/A</v>
      </c>
    </row>
    <row r="216" spans="18:25" x14ac:dyDescent="0.25">
      <c r="R216" s="1">
        <f t="shared" ref="R216" si="178">IF(R215=10000, 10000, 0)</f>
        <v>10000</v>
      </c>
      <c r="W216" s="1" t="e">
        <f>IF(NOT(ISBLANK(Data!H218)), Data!H218+Data!I218, NA())</f>
        <v>#N/A</v>
      </c>
      <c r="X216" s="1" t="e">
        <f>IF(NOT(ISBLANK(Data!M218)), Data!M218+Data!N218, NA())</f>
        <v>#N/A</v>
      </c>
      <c r="Y216" s="1" t="e">
        <f>IF(NOT(ISBLANK(Data!Q218)), Data!Q218+Data!R218, NA())</f>
        <v>#N/A</v>
      </c>
    </row>
    <row r="217" spans="18:25" x14ac:dyDescent="0.25">
      <c r="R217" s="1">
        <f t="shared" ref="R217" si="179">IF(R216=10000, 0, 10000)</f>
        <v>0</v>
      </c>
      <c r="W217" s="1" t="e">
        <f>IF(NOT(ISBLANK(Data!H219)), Data!H219+Data!I219, NA())</f>
        <v>#N/A</v>
      </c>
      <c r="X217" s="1" t="e">
        <f>IF(NOT(ISBLANK(Data!M219)), Data!M219+Data!N219, NA())</f>
        <v>#N/A</v>
      </c>
      <c r="Y217" s="1" t="e">
        <f>IF(NOT(ISBLANK(Data!Q219)), Data!Q219+Data!R219, NA())</f>
        <v>#N/A</v>
      </c>
    </row>
    <row r="218" spans="18:25" x14ac:dyDescent="0.25">
      <c r="R218" s="1">
        <f t="shared" ref="R218" si="180">IF(R217=10000, 10000, 0)</f>
        <v>0</v>
      </c>
      <c r="W218" s="1" t="e">
        <f>IF(NOT(ISBLANK(Data!H220)), Data!H220+Data!I220, NA())</f>
        <v>#N/A</v>
      </c>
      <c r="X218" s="1" t="e">
        <f>IF(NOT(ISBLANK(Data!M220)), Data!M220+Data!N220, NA())</f>
        <v>#N/A</v>
      </c>
      <c r="Y218" s="1" t="e">
        <f>IF(NOT(ISBLANK(Data!Q220)), Data!Q220+Data!R220, NA())</f>
        <v>#N/A</v>
      </c>
    </row>
    <row r="219" spans="18:25" x14ac:dyDescent="0.25">
      <c r="R219" s="1">
        <f t="shared" ref="R219" si="181">IF(R218=10000, 0, 10000)</f>
        <v>10000</v>
      </c>
      <c r="W219" s="1" t="e">
        <f>IF(NOT(ISBLANK(Data!H221)), Data!H221+Data!I221, NA())</f>
        <v>#N/A</v>
      </c>
      <c r="X219" s="1" t="e">
        <f>IF(NOT(ISBLANK(Data!M221)), Data!M221+Data!N221, NA())</f>
        <v>#N/A</v>
      </c>
      <c r="Y219" s="1" t="e">
        <f>IF(NOT(ISBLANK(Data!Q221)), Data!Q221+Data!R221, NA())</f>
        <v>#N/A</v>
      </c>
    </row>
    <row r="220" spans="18:25" x14ac:dyDescent="0.25">
      <c r="R220" s="1">
        <f t="shared" ref="R220" si="182">IF(R219=10000, 10000, 0)</f>
        <v>10000</v>
      </c>
      <c r="W220" s="1" t="e">
        <f>IF(NOT(ISBLANK(Data!H222)), Data!H222+Data!I222, NA())</f>
        <v>#N/A</v>
      </c>
      <c r="X220" s="1" t="e">
        <f>IF(NOT(ISBLANK(Data!M222)), Data!M222+Data!N222, NA())</f>
        <v>#N/A</v>
      </c>
      <c r="Y220" s="1" t="e">
        <f>IF(NOT(ISBLANK(Data!Q222)), Data!Q222+Data!R222, NA())</f>
        <v>#N/A</v>
      </c>
    </row>
    <row r="221" spans="18:25" x14ac:dyDescent="0.25">
      <c r="R221" s="1">
        <f t="shared" ref="R221" si="183">IF(R220=10000, 0, 10000)</f>
        <v>0</v>
      </c>
      <c r="W221" s="1" t="e">
        <f>IF(NOT(ISBLANK(Data!H223)), Data!H223+Data!I223, NA())</f>
        <v>#N/A</v>
      </c>
      <c r="X221" s="1" t="e">
        <f>IF(NOT(ISBLANK(Data!M223)), Data!M223+Data!N223, NA())</f>
        <v>#N/A</v>
      </c>
      <c r="Y221" s="1" t="e">
        <f>IF(NOT(ISBLANK(Data!Q223)), Data!Q223+Data!R223, NA())</f>
        <v>#N/A</v>
      </c>
    </row>
    <row r="222" spans="18:25" x14ac:dyDescent="0.25">
      <c r="R222" s="1">
        <f t="shared" ref="R222" si="184">IF(R221=10000, 10000, 0)</f>
        <v>0</v>
      </c>
      <c r="W222" s="1" t="e">
        <f>IF(NOT(ISBLANK(Data!H224)), Data!H224+Data!I224, NA())</f>
        <v>#N/A</v>
      </c>
      <c r="X222" s="1" t="e">
        <f>IF(NOT(ISBLANK(Data!M224)), Data!M224+Data!N224, NA())</f>
        <v>#N/A</v>
      </c>
      <c r="Y222" s="1" t="e">
        <f>IF(NOT(ISBLANK(Data!Q224)), Data!Q224+Data!R224, NA())</f>
        <v>#N/A</v>
      </c>
    </row>
    <row r="223" spans="18:25" x14ac:dyDescent="0.25">
      <c r="R223" s="1">
        <f t="shared" ref="R223" si="185">IF(R222=10000, 0, 10000)</f>
        <v>10000</v>
      </c>
      <c r="W223" s="1" t="e">
        <f>IF(NOT(ISBLANK(Data!H225)), Data!H225+Data!I225, NA())</f>
        <v>#N/A</v>
      </c>
      <c r="X223" s="1" t="e">
        <f>IF(NOT(ISBLANK(Data!M225)), Data!M225+Data!N225, NA())</f>
        <v>#N/A</v>
      </c>
      <c r="Y223" s="1" t="e">
        <f>IF(NOT(ISBLANK(Data!Q225)), Data!Q225+Data!R225, NA())</f>
        <v>#N/A</v>
      </c>
    </row>
    <row r="224" spans="18:25" x14ac:dyDescent="0.25">
      <c r="R224" s="1">
        <f t="shared" ref="R224" si="186">IF(R223=10000, 10000, 0)</f>
        <v>10000</v>
      </c>
      <c r="W224" s="1" t="e">
        <f>IF(NOT(ISBLANK(Data!H226)), Data!H226+Data!I226, NA())</f>
        <v>#N/A</v>
      </c>
      <c r="X224" s="1" t="e">
        <f>IF(NOT(ISBLANK(Data!M226)), Data!M226+Data!N226, NA())</f>
        <v>#N/A</v>
      </c>
      <c r="Y224" s="1" t="e">
        <f>IF(NOT(ISBLANK(Data!Q226)), Data!Q226+Data!R226, NA())</f>
        <v>#N/A</v>
      </c>
    </row>
    <row r="225" spans="18:25" x14ac:dyDescent="0.25">
      <c r="R225" s="1">
        <f t="shared" ref="R225" si="187">IF(R224=10000, 0, 10000)</f>
        <v>0</v>
      </c>
      <c r="W225" s="1" t="e">
        <f>IF(NOT(ISBLANK(Data!H227)), Data!H227+Data!I227, NA())</f>
        <v>#N/A</v>
      </c>
      <c r="X225" s="1" t="e">
        <f>IF(NOT(ISBLANK(Data!M227)), Data!M227+Data!N227, NA())</f>
        <v>#N/A</v>
      </c>
      <c r="Y225" s="1" t="e">
        <f>IF(NOT(ISBLANK(Data!Q227)), Data!Q227+Data!R227, NA())</f>
        <v>#N/A</v>
      </c>
    </row>
    <row r="226" spans="18:25" x14ac:dyDescent="0.25">
      <c r="R226" s="1">
        <f t="shared" ref="R226" si="188">IF(R225=10000, 10000, 0)</f>
        <v>0</v>
      </c>
      <c r="W226" s="1" t="e">
        <f>IF(NOT(ISBLANK(Data!H228)), Data!H228+Data!I228, NA())</f>
        <v>#N/A</v>
      </c>
      <c r="X226" s="1" t="e">
        <f>IF(NOT(ISBLANK(Data!M228)), Data!M228+Data!N228, NA())</f>
        <v>#N/A</v>
      </c>
      <c r="Y226" s="1" t="e">
        <f>IF(NOT(ISBLANK(Data!Q228)), Data!Q228+Data!R228, NA())</f>
        <v>#N/A</v>
      </c>
    </row>
    <row r="227" spans="18:25" x14ac:dyDescent="0.25">
      <c r="R227" s="1">
        <f t="shared" ref="R227" si="189">IF(R226=10000, 0, 10000)</f>
        <v>10000</v>
      </c>
      <c r="W227" s="1" t="e">
        <f>IF(NOT(ISBLANK(Data!H229)), Data!H229+Data!I229, NA())</f>
        <v>#N/A</v>
      </c>
      <c r="X227" s="1" t="e">
        <f>IF(NOT(ISBLANK(Data!M229)), Data!M229+Data!N229, NA())</f>
        <v>#N/A</v>
      </c>
      <c r="Y227" s="1" t="e">
        <f>IF(NOT(ISBLANK(Data!Q229)), Data!Q229+Data!R229, NA())</f>
        <v>#N/A</v>
      </c>
    </row>
    <row r="228" spans="18:25" x14ac:dyDescent="0.25">
      <c r="R228" s="1">
        <f t="shared" ref="R228" si="190">IF(R227=10000, 10000, 0)</f>
        <v>10000</v>
      </c>
      <c r="W228" s="1" t="e">
        <f>IF(NOT(ISBLANK(Data!H230)), Data!H230+Data!I230, NA())</f>
        <v>#N/A</v>
      </c>
      <c r="X228" s="1" t="e">
        <f>IF(NOT(ISBLANK(Data!M230)), Data!M230+Data!N230, NA())</f>
        <v>#N/A</v>
      </c>
      <c r="Y228" s="1" t="e">
        <f>IF(NOT(ISBLANK(Data!Q230)), Data!Q230+Data!R230, NA())</f>
        <v>#N/A</v>
      </c>
    </row>
    <row r="229" spans="18:25" x14ac:dyDescent="0.25">
      <c r="R229" s="1">
        <f t="shared" ref="R229" si="191">IF(R228=10000, 0, 10000)</f>
        <v>0</v>
      </c>
      <c r="W229" s="1" t="e">
        <f>IF(NOT(ISBLANK(Data!H231)), Data!H231+Data!I231, NA())</f>
        <v>#N/A</v>
      </c>
      <c r="X229" s="1" t="e">
        <f>IF(NOT(ISBLANK(Data!M231)), Data!M231+Data!N231, NA())</f>
        <v>#N/A</v>
      </c>
      <c r="Y229" s="1" t="e">
        <f>IF(NOT(ISBLANK(Data!Q231)), Data!Q231+Data!R231, NA())</f>
        <v>#N/A</v>
      </c>
    </row>
    <row r="230" spans="18:25" x14ac:dyDescent="0.25">
      <c r="R230" s="1">
        <f t="shared" ref="R230" si="192">IF(R229=10000, 10000, 0)</f>
        <v>0</v>
      </c>
      <c r="W230" s="1" t="e">
        <f>IF(NOT(ISBLANK(Data!H232)), Data!H232+Data!I232, NA())</f>
        <v>#N/A</v>
      </c>
      <c r="X230" s="1" t="e">
        <f>IF(NOT(ISBLANK(Data!M232)), Data!M232+Data!N232, NA())</f>
        <v>#N/A</v>
      </c>
      <c r="Y230" s="1" t="e">
        <f>IF(NOT(ISBLANK(Data!Q232)), Data!Q232+Data!R232, NA())</f>
        <v>#N/A</v>
      </c>
    </row>
    <row r="231" spans="18:25" x14ac:dyDescent="0.25">
      <c r="R231" s="1">
        <f t="shared" ref="R231" si="193">IF(R230=10000, 0, 10000)</f>
        <v>10000</v>
      </c>
      <c r="W231" s="1" t="e">
        <f>IF(NOT(ISBLANK(Data!H233)), Data!H233+Data!I233, NA())</f>
        <v>#N/A</v>
      </c>
      <c r="X231" s="1" t="e">
        <f>IF(NOT(ISBLANK(Data!M233)), Data!M233+Data!N233, NA())</f>
        <v>#N/A</v>
      </c>
      <c r="Y231" s="1" t="e">
        <f>IF(NOT(ISBLANK(Data!Q233)), Data!Q233+Data!R233, NA())</f>
        <v>#N/A</v>
      </c>
    </row>
    <row r="232" spans="18:25" x14ac:dyDescent="0.25">
      <c r="R232" s="1">
        <f t="shared" ref="R232" si="194">IF(R231=10000, 10000, 0)</f>
        <v>10000</v>
      </c>
      <c r="W232" s="1" t="e">
        <f>IF(NOT(ISBLANK(Data!H234)), Data!H234+Data!I234, NA())</f>
        <v>#N/A</v>
      </c>
      <c r="X232" s="1" t="e">
        <f>IF(NOT(ISBLANK(Data!M234)), Data!M234+Data!N234, NA())</f>
        <v>#N/A</v>
      </c>
      <c r="Y232" s="1" t="e">
        <f>IF(NOT(ISBLANK(Data!Q234)), Data!Q234+Data!R234, NA())</f>
        <v>#N/A</v>
      </c>
    </row>
    <row r="233" spans="18:25" x14ac:dyDescent="0.25">
      <c r="R233" s="1">
        <f t="shared" ref="R233" si="195">IF(R232=10000, 0, 10000)</f>
        <v>0</v>
      </c>
      <c r="W233" s="1" t="e">
        <f>IF(NOT(ISBLANK(Data!H235)), Data!H235+Data!I235, NA())</f>
        <v>#N/A</v>
      </c>
      <c r="X233" s="1" t="e">
        <f>IF(NOT(ISBLANK(Data!M235)), Data!M235+Data!N235, NA())</f>
        <v>#N/A</v>
      </c>
      <c r="Y233" s="1" t="e">
        <f>IF(NOT(ISBLANK(Data!Q235)), Data!Q235+Data!R235, NA())</f>
        <v>#N/A</v>
      </c>
    </row>
    <row r="234" spans="18:25" x14ac:dyDescent="0.25">
      <c r="R234" s="1">
        <f t="shared" ref="R234" si="196">IF(R233=10000, 10000, 0)</f>
        <v>0</v>
      </c>
      <c r="W234" s="1" t="e">
        <f>IF(NOT(ISBLANK(Data!H236)), Data!H236+Data!I236, NA())</f>
        <v>#N/A</v>
      </c>
      <c r="X234" s="1" t="e">
        <f>IF(NOT(ISBLANK(Data!M236)), Data!M236+Data!N236, NA())</f>
        <v>#N/A</v>
      </c>
      <c r="Y234" s="1" t="e">
        <f>IF(NOT(ISBLANK(Data!Q236)), Data!Q236+Data!R236, NA())</f>
        <v>#N/A</v>
      </c>
    </row>
    <row r="235" spans="18:25" x14ac:dyDescent="0.25">
      <c r="R235" s="1">
        <f t="shared" ref="R235" si="197">IF(R234=10000, 0, 10000)</f>
        <v>10000</v>
      </c>
      <c r="W235" s="1" t="e">
        <f>IF(NOT(ISBLANK(Data!H237)), Data!H237+Data!I237, NA())</f>
        <v>#N/A</v>
      </c>
      <c r="X235" s="1" t="e">
        <f>IF(NOT(ISBLANK(Data!M237)), Data!M237+Data!N237, NA())</f>
        <v>#N/A</v>
      </c>
      <c r="Y235" s="1" t="e">
        <f>IF(NOT(ISBLANK(Data!Q237)), Data!Q237+Data!R237, NA())</f>
        <v>#N/A</v>
      </c>
    </row>
    <row r="236" spans="18:25" x14ac:dyDescent="0.25">
      <c r="R236" s="1">
        <f t="shared" ref="R236" si="198">IF(R235=10000, 10000, 0)</f>
        <v>10000</v>
      </c>
      <c r="W236" s="1" t="e">
        <f>IF(NOT(ISBLANK(Data!H238)), Data!H238+Data!I238, NA())</f>
        <v>#N/A</v>
      </c>
      <c r="X236" s="1" t="e">
        <f>IF(NOT(ISBLANK(Data!M238)), Data!M238+Data!N238, NA())</f>
        <v>#N/A</v>
      </c>
      <c r="Y236" s="1" t="e">
        <f>IF(NOT(ISBLANK(Data!Q238)), Data!Q238+Data!R238, NA())</f>
        <v>#N/A</v>
      </c>
    </row>
    <row r="237" spans="18:25" x14ac:dyDescent="0.25">
      <c r="R237" s="1">
        <f t="shared" ref="R237" si="199">IF(R236=10000, 0, 10000)</f>
        <v>0</v>
      </c>
      <c r="W237" s="1" t="e">
        <f>IF(NOT(ISBLANK(Data!H239)), Data!H239+Data!I239, NA())</f>
        <v>#N/A</v>
      </c>
      <c r="X237" s="1" t="e">
        <f>IF(NOT(ISBLANK(Data!M239)), Data!M239+Data!N239, NA())</f>
        <v>#N/A</v>
      </c>
      <c r="Y237" s="1" t="e">
        <f>IF(NOT(ISBLANK(Data!Q239)), Data!Q239+Data!R239, NA())</f>
        <v>#N/A</v>
      </c>
    </row>
    <row r="238" spans="18:25" x14ac:dyDescent="0.25">
      <c r="R238" s="1">
        <f t="shared" ref="R238" si="200">IF(R237=10000, 10000, 0)</f>
        <v>0</v>
      </c>
      <c r="W238" s="1" t="e">
        <f>IF(NOT(ISBLANK(Data!H240)), Data!H240+Data!I240, NA())</f>
        <v>#N/A</v>
      </c>
      <c r="X238" s="1" t="e">
        <f>IF(NOT(ISBLANK(Data!M240)), Data!M240+Data!N240, NA())</f>
        <v>#N/A</v>
      </c>
      <c r="Y238" s="1" t="e">
        <f>IF(NOT(ISBLANK(Data!Q240)), Data!Q240+Data!R240, NA())</f>
        <v>#N/A</v>
      </c>
    </row>
    <row r="239" spans="18:25" x14ac:dyDescent="0.25">
      <c r="R239" s="1">
        <f t="shared" ref="R239" si="201">IF(R238=10000, 0, 10000)</f>
        <v>10000</v>
      </c>
      <c r="W239" s="1" t="e">
        <f>IF(NOT(ISBLANK(Data!H241)), Data!H241+Data!I241, NA())</f>
        <v>#N/A</v>
      </c>
      <c r="X239" s="1" t="e">
        <f>IF(NOT(ISBLANK(Data!M241)), Data!M241+Data!N241, NA())</f>
        <v>#N/A</v>
      </c>
      <c r="Y239" s="1" t="e">
        <f>IF(NOT(ISBLANK(Data!Q241)), Data!Q241+Data!R241, NA())</f>
        <v>#N/A</v>
      </c>
    </row>
    <row r="240" spans="18:25" x14ac:dyDescent="0.25">
      <c r="R240" s="1">
        <f t="shared" ref="R240" si="202">IF(R239=10000, 10000, 0)</f>
        <v>10000</v>
      </c>
      <c r="W240" s="1" t="e">
        <f>IF(NOT(ISBLANK(Data!H242)), Data!H242+Data!I242, NA())</f>
        <v>#N/A</v>
      </c>
      <c r="X240" s="1" t="e">
        <f>IF(NOT(ISBLANK(Data!M242)), Data!M242+Data!N242, NA())</f>
        <v>#N/A</v>
      </c>
      <c r="Y240" s="1" t="e">
        <f>IF(NOT(ISBLANK(Data!Q242)), Data!Q242+Data!R242, NA())</f>
        <v>#N/A</v>
      </c>
    </row>
    <row r="241" spans="18:25" x14ac:dyDescent="0.25">
      <c r="R241" s="1">
        <f t="shared" ref="R241" si="203">IF(R240=10000, 0, 10000)</f>
        <v>0</v>
      </c>
      <c r="W241" s="1" t="e">
        <f>IF(NOT(ISBLANK(Data!H243)), Data!H243+Data!I243, NA())</f>
        <v>#N/A</v>
      </c>
      <c r="X241" s="1" t="e">
        <f>IF(NOT(ISBLANK(Data!M243)), Data!M243+Data!N243, NA())</f>
        <v>#N/A</v>
      </c>
      <c r="Y241" s="1" t="e">
        <f>IF(NOT(ISBLANK(Data!Q243)), Data!Q243+Data!R243, NA())</f>
        <v>#N/A</v>
      </c>
    </row>
    <row r="242" spans="18:25" x14ac:dyDescent="0.25">
      <c r="R242" s="1">
        <f t="shared" ref="R242" si="204">IF(R241=10000, 10000, 0)</f>
        <v>0</v>
      </c>
      <c r="W242" s="1" t="e">
        <f>IF(NOT(ISBLANK(Data!H244)), Data!H244+Data!I244, NA())</f>
        <v>#N/A</v>
      </c>
      <c r="X242" s="1" t="e">
        <f>IF(NOT(ISBLANK(Data!M244)), Data!M244+Data!N244, NA())</f>
        <v>#N/A</v>
      </c>
      <c r="Y242" s="1" t="e">
        <f>IF(NOT(ISBLANK(Data!Q244)), Data!Q244+Data!R244, NA())</f>
        <v>#N/A</v>
      </c>
    </row>
    <row r="243" spans="18:25" x14ac:dyDescent="0.25">
      <c r="R243" s="1">
        <f t="shared" ref="R243" si="205">IF(R242=10000, 0, 10000)</f>
        <v>10000</v>
      </c>
      <c r="W243" s="1" t="e">
        <f>IF(NOT(ISBLANK(Data!H245)), Data!H245+Data!I245, NA())</f>
        <v>#N/A</v>
      </c>
      <c r="X243" s="1" t="e">
        <f>IF(NOT(ISBLANK(Data!M245)), Data!M245+Data!N245, NA())</f>
        <v>#N/A</v>
      </c>
      <c r="Y243" s="1" t="e">
        <f>IF(NOT(ISBLANK(Data!Q245)), Data!Q245+Data!R245, NA())</f>
        <v>#N/A</v>
      </c>
    </row>
    <row r="244" spans="18:25" x14ac:dyDescent="0.25">
      <c r="R244" s="1">
        <f t="shared" ref="R244" si="206">IF(R243=10000, 10000, 0)</f>
        <v>10000</v>
      </c>
      <c r="W244" s="1" t="e">
        <f>IF(NOT(ISBLANK(Data!H246)), Data!H246+Data!I246, NA())</f>
        <v>#N/A</v>
      </c>
      <c r="X244" s="1" t="e">
        <f>IF(NOT(ISBLANK(Data!M246)), Data!M246+Data!N246, NA())</f>
        <v>#N/A</v>
      </c>
      <c r="Y244" s="1" t="e">
        <f>IF(NOT(ISBLANK(Data!Q246)), Data!Q246+Data!R246, NA())</f>
        <v>#N/A</v>
      </c>
    </row>
    <row r="245" spans="18:25" x14ac:dyDescent="0.25">
      <c r="R245" s="1">
        <f t="shared" ref="R245" si="207">IF(R244=10000, 0, 10000)</f>
        <v>0</v>
      </c>
      <c r="W245" s="1" t="e">
        <f>IF(NOT(ISBLANK(Data!H247)), Data!H247+Data!I247, NA())</f>
        <v>#N/A</v>
      </c>
      <c r="X245" s="1" t="e">
        <f>IF(NOT(ISBLANK(Data!M247)), Data!M247+Data!N247, NA())</f>
        <v>#N/A</v>
      </c>
      <c r="Y245" s="1" t="e">
        <f>IF(NOT(ISBLANK(Data!Q247)), Data!Q247+Data!R247, NA())</f>
        <v>#N/A</v>
      </c>
    </row>
    <row r="246" spans="18:25" x14ac:dyDescent="0.25">
      <c r="R246" s="1">
        <f t="shared" ref="R246" si="208">IF(R245=10000, 10000, 0)</f>
        <v>0</v>
      </c>
      <c r="W246" s="1" t="e">
        <f>IF(NOT(ISBLANK(Data!H248)), Data!H248+Data!I248, NA())</f>
        <v>#N/A</v>
      </c>
      <c r="X246" s="1" t="e">
        <f>IF(NOT(ISBLANK(Data!M248)), Data!M248+Data!N248, NA())</f>
        <v>#N/A</v>
      </c>
      <c r="Y246" s="1" t="e">
        <f>IF(NOT(ISBLANK(Data!Q248)), Data!Q248+Data!R248, NA())</f>
        <v>#N/A</v>
      </c>
    </row>
    <row r="247" spans="18:25" x14ac:dyDescent="0.25">
      <c r="R247" s="1">
        <f t="shared" ref="R247" si="209">IF(R246=10000, 0, 10000)</f>
        <v>10000</v>
      </c>
      <c r="W247" s="1" t="e">
        <f>IF(NOT(ISBLANK(Data!H249)), Data!H249+Data!I249, NA())</f>
        <v>#N/A</v>
      </c>
      <c r="X247" s="1" t="e">
        <f>IF(NOT(ISBLANK(Data!M249)), Data!M249+Data!N249, NA())</f>
        <v>#N/A</v>
      </c>
      <c r="Y247" s="1" t="e">
        <f>IF(NOT(ISBLANK(Data!Q249)), Data!Q249+Data!R249, NA())</f>
        <v>#N/A</v>
      </c>
    </row>
    <row r="248" spans="18:25" x14ac:dyDescent="0.25">
      <c r="R248" s="1">
        <f t="shared" ref="R248" si="210">IF(R247=10000, 10000, 0)</f>
        <v>10000</v>
      </c>
      <c r="W248" s="1" t="e">
        <f>IF(NOT(ISBLANK(Data!H250)), Data!H250+Data!I250, NA())</f>
        <v>#N/A</v>
      </c>
      <c r="X248" s="1" t="e">
        <f>IF(NOT(ISBLANK(Data!M250)), Data!M250+Data!N250, NA())</f>
        <v>#N/A</v>
      </c>
      <c r="Y248" s="1" t="e">
        <f>IF(NOT(ISBLANK(Data!Q250)), Data!Q250+Data!R250, NA())</f>
        <v>#N/A</v>
      </c>
    </row>
    <row r="249" spans="18:25" x14ac:dyDescent="0.25">
      <c r="R249" s="1">
        <f t="shared" ref="R249" si="211">IF(R248=10000, 0, 10000)</f>
        <v>0</v>
      </c>
      <c r="W249" s="1" t="e">
        <f>IF(NOT(ISBLANK(Data!H251)), Data!H251+Data!I251, NA())</f>
        <v>#N/A</v>
      </c>
      <c r="X249" s="1" t="e">
        <f>IF(NOT(ISBLANK(Data!M251)), Data!M251+Data!N251, NA())</f>
        <v>#N/A</v>
      </c>
      <c r="Y249" s="1" t="e">
        <f>IF(NOT(ISBLANK(Data!Q251)), Data!Q251+Data!R251, NA())</f>
        <v>#N/A</v>
      </c>
    </row>
    <row r="250" spans="18:25" x14ac:dyDescent="0.25">
      <c r="R250" s="1">
        <f t="shared" ref="R250" si="212">IF(R249=10000, 10000, 0)</f>
        <v>0</v>
      </c>
      <c r="W250" s="1" t="e">
        <f>IF(NOT(ISBLANK(Data!H252)), Data!H252+Data!I252, NA())</f>
        <v>#N/A</v>
      </c>
      <c r="X250" s="1" t="e">
        <f>IF(NOT(ISBLANK(Data!M252)), Data!M252+Data!N252, NA())</f>
        <v>#N/A</v>
      </c>
      <c r="Y250" s="1" t="e">
        <f>IF(NOT(ISBLANK(Data!Q252)), Data!Q252+Data!R252, NA())</f>
        <v>#N/A</v>
      </c>
    </row>
    <row r="251" spans="18:25" x14ac:dyDescent="0.25">
      <c r="R251" s="1">
        <f t="shared" ref="R251" si="213">IF(R250=10000, 0, 10000)</f>
        <v>10000</v>
      </c>
      <c r="W251" s="1" t="e">
        <f>IF(NOT(ISBLANK(Data!H253)), Data!H253+Data!I253, NA())</f>
        <v>#N/A</v>
      </c>
      <c r="X251" s="1" t="e">
        <f>IF(NOT(ISBLANK(Data!M253)), Data!M253+Data!N253, NA())</f>
        <v>#N/A</v>
      </c>
      <c r="Y251" s="1" t="e">
        <f>IF(NOT(ISBLANK(Data!Q253)), Data!Q253+Data!R253, NA())</f>
        <v>#N/A</v>
      </c>
    </row>
    <row r="252" spans="18:25" x14ac:dyDescent="0.25">
      <c r="R252" s="1">
        <f t="shared" ref="R252" si="214">IF(R251=10000, 10000, 0)</f>
        <v>10000</v>
      </c>
      <c r="W252" s="1" t="e">
        <f>IF(NOT(ISBLANK(Data!H254)), Data!H254+Data!I254, NA())</f>
        <v>#N/A</v>
      </c>
      <c r="X252" s="1" t="e">
        <f>IF(NOT(ISBLANK(Data!M254)), Data!M254+Data!N254, NA())</f>
        <v>#N/A</v>
      </c>
      <c r="Y252" s="1" t="e">
        <f>IF(NOT(ISBLANK(Data!Q254)), Data!Q254+Data!R254, NA())</f>
        <v>#N/A</v>
      </c>
    </row>
    <row r="253" spans="18:25" x14ac:dyDescent="0.25">
      <c r="R253" s="1">
        <f t="shared" ref="R253" si="215">IF(R252=10000, 0, 10000)</f>
        <v>0</v>
      </c>
      <c r="W253" s="1" t="e">
        <f>IF(NOT(ISBLANK(Data!H255)), Data!H255+Data!I255, NA())</f>
        <v>#N/A</v>
      </c>
      <c r="X253" s="1" t="e">
        <f>IF(NOT(ISBLANK(Data!M255)), Data!M255+Data!N255, NA())</f>
        <v>#N/A</v>
      </c>
      <c r="Y253" s="1" t="e">
        <f>IF(NOT(ISBLANK(Data!Q255)), Data!Q255+Data!R255, NA())</f>
        <v>#N/A</v>
      </c>
    </row>
    <row r="254" spans="18:25" x14ac:dyDescent="0.25">
      <c r="R254" s="1">
        <f t="shared" ref="R254" si="216">IF(R253=10000, 10000, 0)</f>
        <v>0</v>
      </c>
      <c r="W254" s="1" t="e">
        <f>IF(NOT(ISBLANK(Data!H256)), Data!H256+Data!I256, NA())</f>
        <v>#N/A</v>
      </c>
      <c r="X254" s="1" t="e">
        <f>IF(NOT(ISBLANK(Data!M256)), Data!M256+Data!N256, NA())</f>
        <v>#N/A</v>
      </c>
      <c r="Y254" s="1" t="e">
        <f>IF(NOT(ISBLANK(Data!Q256)), Data!Q256+Data!R256, NA())</f>
        <v>#N/A</v>
      </c>
    </row>
    <row r="255" spans="18:25" x14ac:dyDescent="0.25">
      <c r="R255" s="1">
        <f t="shared" ref="R255" si="217">IF(R254=10000, 0, 10000)</f>
        <v>10000</v>
      </c>
      <c r="W255" s="1" t="e">
        <f>IF(NOT(ISBLANK(Data!H257)), Data!H257+Data!I257, NA())</f>
        <v>#N/A</v>
      </c>
      <c r="X255" s="1" t="e">
        <f>IF(NOT(ISBLANK(Data!M257)), Data!M257+Data!N257, NA())</f>
        <v>#N/A</v>
      </c>
      <c r="Y255" s="1" t="e">
        <f>IF(NOT(ISBLANK(Data!Q257)), Data!Q257+Data!R257, NA())</f>
        <v>#N/A</v>
      </c>
    </row>
    <row r="256" spans="18:25" x14ac:dyDescent="0.25">
      <c r="R256" s="1">
        <f t="shared" ref="R256" si="218">IF(R255=10000, 10000, 0)</f>
        <v>10000</v>
      </c>
      <c r="W256" s="1" t="e">
        <f>IF(NOT(ISBLANK(Data!H258)), Data!H258+Data!I258, NA())</f>
        <v>#N/A</v>
      </c>
      <c r="X256" s="1" t="e">
        <f>IF(NOT(ISBLANK(Data!M258)), Data!M258+Data!N258, NA())</f>
        <v>#N/A</v>
      </c>
      <c r="Y256" s="1" t="e">
        <f>IF(NOT(ISBLANK(Data!Q258)), Data!Q258+Data!R258, NA())</f>
        <v>#N/A</v>
      </c>
    </row>
    <row r="257" spans="18:25" x14ac:dyDescent="0.25">
      <c r="R257" s="1">
        <f t="shared" ref="R257" si="219">IF(R256=10000, 0, 10000)</f>
        <v>0</v>
      </c>
      <c r="W257" s="1" t="e">
        <f>IF(NOT(ISBLANK(Data!H259)), Data!H259+Data!I259, NA())</f>
        <v>#N/A</v>
      </c>
      <c r="X257" s="1" t="e">
        <f>IF(NOT(ISBLANK(Data!M259)), Data!M259+Data!N259, NA())</f>
        <v>#N/A</v>
      </c>
      <c r="Y257" s="1" t="e">
        <f>IF(NOT(ISBLANK(Data!Q259)), Data!Q259+Data!R259, NA())</f>
        <v>#N/A</v>
      </c>
    </row>
    <row r="258" spans="18:25" x14ac:dyDescent="0.25">
      <c r="R258" s="1">
        <f t="shared" ref="R258" si="220">IF(R257=10000, 10000, 0)</f>
        <v>0</v>
      </c>
      <c r="W258" s="1" t="e">
        <f>IF(NOT(ISBLANK(Data!H260)), Data!H260+Data!I260, NA())</f>
        <v>#N/A</v>
      </c>
      <c r="X258" s="1" t="e">
        <f>IF(NOT(ISBLANK(Data!M260)), Data!M260+Data!N260, NA())</f>
        <v>#N/A</v>
      </c>
      <c r="Y258" s="1" t="e">
        <f>IF(NOT(ISBLANK(Data!Q260)), Data!Q260+Data!R260, NA())</f>
        <v>#N/A</v>
      </c>
    </row>
    <row r="259" spans="18:25" x14ac:dyDescent="0.25">
      <c r="R259" s="1">
        <f t="shared" ref="R259" si="221">IF(R258=10000, 0, 10000)</f>
        <v>10000</v>
      </c>
      <c r="W259" s="1" t="e">
        <f>IF(NOT(ISBLANK(Data!H261)), Data!H261+Data!I261, NA())</f>
        <v>#N/A</v>
      </c>
      <c r="X259" s="1" t="e">
        <f>IF(NOT(ISBLANK(Data!M261)), Data!M261+Data!N261, NA())</f>
        <v>#N/A</v>
      </c>
      <c r="Y259" s="1" t="e">
        <f>IF(NOT(ISBLANK(Data!Q261)), Data!Q261+Data!R261, NA())</f>
        <v>#N/A</v>
      </c>
    </row>
    <row r="260" spans="18:25" x14ac:dyDescent="0.25">
      <c r="R260" s="1">
        <f t="shared" ref="R260" si="222">IF(R259=10000, 10000, 0)</f>
        <v>10000</v>
      </c>
      <c r="W260" s="1" t="e">
        <f>IF(NOT(ISBLANK(Data!H262)), Data!H262+Data!I262, NA())</f>
        <v>#N/A</v>
      </c>
      <c r="X260" s="1" t="e">
        <f>IF(NOT(ISBLANK(Data!M262)), Data!M262+Data!N262, NA())</f>
        <v>#N/A</v>
      </c>
      <c r="Y260" s="1" t="e">
        <f>IF(NOT(ISBLANK(Data!Q262)), Data!Q262+Data!R262, NA())</f>
        <v>#N/A</v>
      </c>
    </row>
    <row r="261" spans="18:25" x14ac:dyDescent="0.25">
      <c r="R261" s="1">
        <f t="shared" ref="R261" si="223">IF(R260=10000, 0, 10000)</f>
        <v>0</v>
      </c>
      <c r="W261" s="1" t="e">
        <f>IF(NOT(ISBLANK(Data!H263)), Data!H263+Data!I263, NA())</f>
        <v>#N/A</v>
      </c>
      <c r="X261" s="1" t="e">
        <f>IF(NOT(ISBLANK(Data!M263)), Data!M263+Data!N263, NA())</f>
        <v>#N/A</v>
      </c>
      <c r="Y261" s="1" t="e">
        <f>IF(NOT(ISBLANK(Data!Q263)), Data!Q263+Data!R263, NA())</f>
        <v>#N/A</v>
      </c>
    </row>
    <row r="262" spans="18:25" x14ac:dyDescent="0.25">
      <c r="R262" s="1">
        <f t="shared" ref="R262" si="224">IF(R261=10000, 10000, 0)</f>
        <v>0</v>
      </c>
      <c r="W262" s="1" t="e">
        <f>IF(NOT(ISBLANK(Data!H264)), Data!H264+Data!I264, NA())</f>
        <v>#N/A</v>
      </c>
      <c r="X262" s="1" t="e">
        <f>IF(NOT(ISBLANK(Data!M264)), Data!M264+Data!N264, NA())</f>
        <v>#N/A</v>
      </c>
      <c r="Y262" s="1" t="e">
        <f>IF(NOT(ISBLANK(Data!Q264)), Data!Q264+Data!R264, NA())</f>
        <v>#N/A</v>
      </c>
    </row>
    <row r="263" spans="18:25" x14ac:dyDescent="0.25">
      <c r="R263" s="1">
        <f t="shared" ref="R263" si="225">IF(R262=10000, 0, 10000)</f>
        <v>10000</v>
      </c>
      <c r="W263" s="1" t="e">
        <f>IF(NOT(ISBLANK(Data!H265)), Data!H265+Data!I265, NA())</f>
        <v>#N/A</v>
      </c>
      <c r="X263" s="1" t="e">
        <f>IF(NOT(ISBLANK(Data!M265)), Data!M265+Data!N265, NA())</f>
        <v>#N/A</v>
      </c>
      <c r="Y263" s="1" t="e">
        <f>IF(NOT(ISBLANK(Data!Q265)), Data!Q265+Data!R265, NA())</f>
        <v>#N/A</v>
      </c>
    </row>
    <row r="264" spans="18:25" x14ac:dyDescent="0.25">
      <c r="R264" s="1">
        <f t="shared" ref="R264" si="226">IF(R263=10000, 10000, 0)</f>
        <v>10000</v>
      </c>
      <c r="W264" s="1" t="e">
        <f>IF(NOT(ISBLANK(Data!H266)), Data!H266+Data!I266, NA())</f>
        <v>#N/A</v>
      </c>
      <c r="X264" s="1" t="e">
        <f>IF(NOT(ISBLANK(Data!M266)), Data!M266+Data!N266, NA())</f>
        <v>#N/A</v>
      </c>
      <c r="Y264" s="1" t="e">
        <f>IF(NOT(ISBLANK(Data!Q266)), Data!Q266+Data!R266, NA())</f>
        <v>#N/A</v>
      </c>
    </row>
    <row r="265" spans="18:25" x14ac:dyDescent="0.25">
      <c r="R265" s="1">
        <f t="shared" ref="R265" si="227">IF(R264=10000, 0, 10000)</f>
        <v>0</v>
      </c>
      <c r="W265" s="1" t="e">
        <f>IF(NOT(ISBLANK(Data!H267)), Data!H267+Data!I267, NA())</f>
        <v>#N/A</v>
      </c>
      <c r="X265" s="1" t="e">
        <f>IF(NOT(ISBLANK(Data!M267)), Data!M267+Data!N267, NA())</f>
        <v>#N/A</v>
      </c>
      <c r="Y265" s="1" t="e">
        <f>IF(NOT(ISBLANK(Data!Q267)), Data!Q267+Data!R267, NA())</f>
        <v>#N/A</v>
      </c>
    </row>
    <row r="266" spans="18:25" x14ac:dyDescent="0.25">
      <c r="R266" s="1">
        <f t="shared" ref="R266" si="228">IF(R265=10000, 10000, 0)</f>
        <v>0</v>
      </c>
      <c r="W266" s="1" t="e">
        <f>IF(NOT(ISBLANK(Data!H268)), Data!H268+Data!I268, NA())</f>
        <v>#N/A</v>
      </c>
      <c r="X266" s="1" t="e">
        <f>IF(NOT(ISBLANK(Data!M268)), Data!M268+Data!N268, NA())</f>
        <v>#N/A</v>
      </c>
      <c r="Y266" s="1" t="e">
        <f>IF(NOT(ISBLANK(Data!Q268)), Data!Q268+Data!R268, NA())</f>
        <v>#N/A</v>
      </c>
    </row>
    <row r="267" spans="18:25" x14ac:dyDescent="0.25">
      <c r="R267" s="1">
        <f t="shared" ref="R267" si="229">IF(R266=10000, 0, 10000)</f>
        <v>10000</v>
      </c>
      <c r="W267" s="1" t="e">
        <f>IF(NOT(ISBLANK(Data!H269)), Data!H269+Data!I269, NA())</f>
        <v>#N/A</v>
      </c>
      <c r="X267" s="1" t="e">
        <f>IF(NOT(ISBLANK(Data!M269)), Data!M269+Data!N269, NA())</f>
        <v>#N/A</v>
      </c>
      <c r="Y267" s="1" t="e">
        <f>IF(NOT(ISBLANK(Data!Q269)), Data!Q269+Data!R269, NA())</f>
        <v>#N/A</v>
      </c>
    </row>
    <row r="268" spans="18:25" x14ac:dyDescent="0.25">
      <c r="R268" s="1">
        <f t="shared" ref="R268" si="230">IF(R267=10000, 10000, 0)</f>
        <v>10000</v>
      </c>
      <c r="W268" s="1" t="e">
        <f>IF(NOT(ISBLANK(Data!H270)), Data!H270+Data!I270, NA())</f>
        <v>#N/A</v>
      </c>
      <c r="X268" s="1" t="e">
        <f>IF(NOT(ISBLANK(Data!M270)), Data!M270+Data!N270, NA())</f>
        <v>#N/A</v>
      </c>
      <c r="Y268" s="1" t="e">
        <f>IF(NOT(ISBLANK(Data!Q270)), Data!Q270+Data!R270, NA())</f>
        <v>#N/A</v>
      </c>
    </row>
    <row r="269" spans="18:25" x14ac:dyDescent="0.25">
      <c r="R269" s="1">
        <f t="shared" ref="R269" si="231">IF(R268=10000, 0, 10000)</f>
        <v>0</v>
      </c>
      <c r="W269" s="1" t="e">
        <f>IF(NOT(ISBLANK(Data!H271)), Data!H271+Data!I271, NA())</f>
        <v>#N/A</v>
      </c>
      <c r="X269" s="1" t="e">
        <f>IF(NOT(ISBLANK(Data!M271)), Data!M271+Data!N271, NA())</f>
        <v>#N/A</v>
      </c>
      <c r="Y269" s="1" t="e">
        <f>IF(NOT(ISBLANK(Data!Q271)), Data!Q271+Data!R271, NA())</f>
        <v>#N/A</v>
      </c>
    </row>
    <row r="270" spans="18:25" x14ac:dyDescent="0.25">
      <c r="R270" s="1">
        <f t="shared" ref="R270" si="232">IF(R269=10000, 10000, 0)</f>
        <v>0</v>
      </c>
      <c r="W270" s="1" t="e">
        <f>IF(NOT(ISBLANK(Data!H272)), Data!H272+Data!I272, NA())</f>
        <v>#N/A</v>
      </c>
      <c r="X270" s="1" t="e">
        <f>IF(NOT(ISBLANK(Data!M272)), Data!M272+Data!N272, NA())</f>
        <v>#N/A</v>
      </c>
      <c r="Y270" s="1" t="e">
        <f>IF(NOT(ISBLANK(Data!Q272)), Data!Q272+Data!R272, NA())</f>
        <v>#N/A</v>
      </c>
    </row>
    <row r="271" spans="18:25" x14ac:dyDescent="0.25">
      <c r="R271" s="1">
        <f t="shared" ref="R271" si="233">IF(R270=10000, 0, 10000)</f>
        <v>10000</v>
      </c>
      <c r="W271" s="1" t="e">
        <f>IF(NOT(ISBLANK(Data!H273)), Data!H273+Data!I273, NA())</f>
        <v>#N/A</v>
      </c>
      <c r="X271" s="1" t="e">
        <f>IF(NOT(ISBLANK(Data!M273)), Data!M273+Data!N273, NA())</f>
        <v>#N/A</v>
      </c>
      <c r="Y271" s="1" t="e">
        <f>IF(NOT(ISBLANK(Data!Q273)), Data!Q273+Data!R273, NA())</f>
        <v>#N/A</v>
      </c>
    </row>
    <row r="272" spans="18:25" x14ac:dyDescent="0.25">
      <c r="R272" s="1">
        <f t="shared" ref="R272" si="234">IF(R271=10000, 10000, 0)</f>
        <v>10000</v>
      </c>
      <c r="W272" s="1" t="e">
        <f>IF(NOT(ISBLANK(Data!H274)), Data!H274+Data!I274, NA())</f>
        <v>#N/A</v>
      </c>
      <c r="X272" s="1" t="e">
        <f>IF(NOT(ISBLANK(Data!M274)), Data!M274+Data!N274, NA())</f>
        <v>#N/A</v>
      </c>
      <c r="Y272" s="1" t="e">
        <f>IF(NOT(ISBLANK(Data!Q274)), Data!Q274+Data!R274, NA())</f>
        <v>#N/A</v>
      </c>
    </row>
    <row r="273" spans="18:25" x14ac:dyDescent="0.25">
      <c r="R273" s="1">
        <f t="shared" ref="R273" si="235">IF(R272=10000, 0, 10000)</f>
        <v>0</v>
      </c>
      <c r="W273" s="1" t="e">
        <f>IF(NOT(ISBLANK(Data!H275)), Data!H275+Data!I275, NA())</f>
        <v>#N/A</v>
      </c>
      <c r="X273" s="1" t="e">
        <f>IF(NOT(ISBLANK(Data!M275)), Data!M275+Data!N275, NA())</f>
        <v>#N/A</v>
      </c>
      <c r="Y273" s="1" t="e">
        <f>IF(NOT(ISBLANK(Data!Q275)), Data!Q275+Data!R275, NA())</f>
        <v>#N/A</v>
      </c>
    </row>
    <row r="274" spans="18:25" x14ac:dyDescent="0.25">
      <c r="R274" s="1">
        <f t="shared" ref="R274" si="236">IF(R273=10000, 10000, 0)</f>
        <v>0</v>
      </c>
      <c r="W274" s="1" t="e">
        <f>IF(NOT(ISBLANK(Data!H276)), Data!H276+Data!I276, NA())</f>
        <v>#N/A</v>
      </c>
      <c r="X274" s="1" t="e">
        <f>IF(NOT(ISBLANK(Data!M276)), Data!M276+Data!N276, NA())</f>
        <v>#N/A</v>
      </c>
      <c r="Y274" s="1" t="e">
        <f>IF(NOT(ISBLANK(Data!Q276)), Data!Q276+Data!R276, NA())</f>
        <v>#N/A</v>
      </c>
    </row>
    <row r="275" spans="18:25" x14ac:dyDescent="0.25">
      <c r="R275" s="1">
        <f t="shared" ref="R275" si="237">IF(R274=10000, 0, 10000)</f>
        <v>10000</v>
      </c>
      <c r="W275" s="1" t="e">
        <f>IF(NOT(ISBLANK(Data!H277)), Data!H277+Data!I277, NA())</f>
        <v>#N/A</v>
      </c>
      <c r="X275" s="1" t="e">
        <f>IF(NOT(ISBLANK(Data!M277)), Data!M277+Data!N277, NA())</f>
        <v>#N/A</v>
      </c>
      <c r="Y275" s="1" t="e">
        <f>IF(NOT(ISBLANK(Data!Q277)), Data!Q277+Data!R277, NA())</f>
        <v>#N/A</v>
      </c>
    </row>
    <row r="276" spans="18:25" x14ac:dyDescent="0.25">
      <c r="R276" s="1">
        <f t="shared" ref="R276" si="238">IF(R275=10000, 10000, 0)</f>
        <v>10000</v>
      </c>
      <c r="W276" s="1" t="e">
        <f>IF(NOT(ISBLANK(Data!H278)), Data!H278+Data!I278, NA())</f>
        <v>#N/A</v>
      </c>
      <c r="X276" s="1" t="e">
        <f>IF(NOT(ISBLANK(Data!M278)), Data!M278+Data!N278, NA())</f>
        <v>#N/A</v>
      </c>
      <c r="Y276" s="1" t="e">
        <f>IF(NOT(ISBLANK(Data!Q278)), Data!Q278+Data!R278, NA())</f>
        <v>#N/A</v>
      </c>
    </row>
    <row r="277" spans="18:25" x14ac:dyDescent="0.25">
      <c r="R277" s="1">
        <f t="shared" ref="R277" si="239">IF(R276=10000, 0, 10000)</f>
        <v>0</v>
      </c>
      <c r="W277" s="1" t="e">
        <f>IF(NOT(ISBLANK(Data!H279)), Data!H279+Data!I279, NA())</f>
        <v>#N/A</v>
      </c>
      <c r="X277" s="1" t="e">
        <f>IF(NOT(ISBLANK(Data!M279)), Data!M279+Data!N279, NA())</f>
        <v>#N/A</v>
      </c>
      <c r="Y277" s="1" t="e">
        <f>IF(NOT(ISBLANK(Data!Q279)), Data!Q279+Data!R279, NA())</f>
        <v>#N/A</v>
      </c>
    </row>
    <row r="278" spans="18:25" x14ac:dyDescent="0.25">
      <c r="R278" s="1">
        <f t="shared" ref="R278" si="240">IF(R277=10000, 10000, 0)</f>
        <v>0</v>
      </c>
      <c r="W278" s="1" t="e">
        <f>IF(NOT(ISBLANK(Data!H280)), Data!H280+Data!I280, NA())</f>
        <v>#N/A</v>
      </c>
      <c r="X278" s="1" t="e">
        <f>IF(NOT(ISBLANK(Data!M280)), Data!M280+Data!N280, NA())</f>
        <v>#N/A</v>
      </c>
      <c r="Y278" s="1" t="e">
        <f>IF(NOT(ISBLANK(Data!Q280)), Data!Q280+Data!R280, NA())</f>
        <v>#N/A</v>
      </c>
    </row>
    <row r="279" spans="18:25" x14ac:dyDescent="0.25">
      <c r="R279" s="1">
        <f t="shared" ref="R279" si="241">IF(R278=10000, 0, 10000)</f>
        <v>10000</v>
      </c>
      <c r="W279" s="1" t="e">
        <f>IF(NOT(ISBLANK(Data!H281)), Data!H281+Data!I281, NA())</f>
        <v>#N/A</v>
      </c>
      <c r="X279" s="1" t="e">
        <f>IF(NOT(ISBLANK(Data!M281)), Data!M281+Data!N281, NA())</f>
        <v>#N/A</v>
      </c>
      <c r="Y279" s="1" t="e">
        <f>IF(NOT(ISBLANK(Data!Q281)), Data!Q281+Data!R281, NA())</f>
        <v>#N/A</v>
      </c>
    </row>
    <row r="280" spans="18:25" x14ac:dyDescent="0.25">
      <c r="R280" s="1">
        <f t="shared" ref="R280" si="242">IF(R279=10000, 10000, 0)</f>
        <v>10000</v>
      </c>
      <c r="W280" s="1" t="e">
        <f>IF(NOT(ISBLANK(Data!H282)), Data!H282+Data!I282, NA())</f>
        <v>#N/A</v>
      </c>
      <c r="X280" s="1" t="e">
        <f>IF(NOT(ISBLANK(Data!M282)), Data!M282+Data!N282, NA())</f>
        <v>#N/A</v>
      </c>
      <c r="Y280" s="1" t="e">
        <f>IF(NOT(ISBLANK(Data!Q282)), Data!Q282+Data!R282, NA())</f>
        <v>#N/A</v>
      </c>
    </row>
    <row r="281" spans="18:25" x14ac:dyDescent="0.25">
      <c r="R281" s="1">
        <f t="shared" ref="R281" si="243">IF(R280=10000, 0, 10000)</f>
        <v>0</v>
      </c>
      <c r="W281" s="1" t="e">
        <f>IF(NOT(ISBLANK(Data!H283)), Data!H283+Data!I283, NA())</f>
        <v>#N/A</v>
      </c>
      <c r="X281" s="1" t="e">
        <f>IF(NOT(ISBLANK(Data!M283)), Data!M283+Data!N283, NA())</f>
        <v>#N/A</v>
      </c>
      <c r="Y281" s="1" t="e">
        <f>IF(NOT(ISBLANK(Data!Q283)), Data!Q283+Data!R283, NA())</f>
        <v>#N/A</v>
      </c>
    </row>
    <row r="282" spans="18:25" x14ac:dyDescent="0.25">
      <c r="R282" s="1">
        <f t="shared" ref="R282" si="244">IF(R281=10000, 10000, 0)</f>
        <v>0</v>
      </c>
      <c r="W282" s="1" t="e">
        <f>IF(NOT(ISBLANK(Data!H284)), Data!H284+Data!I284, NA())</f>
        <v>#N/A</v>
      </c>
      <c r="X282" s="1" t="e">
        <f>IF(NOT(ISBLANK(Data!M284)), Data!M284+Data!N284, NA())</f>
        <v>#N/A</v>
      </c>
      <c r="Y282" s="1" t="e">
        <f>IF(NOT(ISBLANK(Data!Q284)), Data!Q284+Data!R284, NA())</f>
        <v>#N/A</v>
      </c>
    </row>
    <row r="283" spans="18:25" x14ac:dyDescent="0.25">
      <c r="R283" s="1">
        <f t="shared" ref="R283" si="245">IF(R282=10000, 0, 10000)</f>
        <v>10000</v>
      </c>
      <c r="W283" s="1" t="e">
        <f>IF(NOT(ISBLANK(Data!H285)), Data!H285+Data!I285, NA())</f>
        <v>#N/A</v>
      </c>
      <c r="X283" s="1" t="e">
        <f>IF(NOT(ISBLANK(Data!M285)), Data!M285+Data!N285, NA())</f>
        <v>#N/A</v>
      </c>
      <c r="Y283" s="1" t="e">
        <f>IF(NOT(ISBLANK(Data!Q285)), Data!Q285+Data!R285, NA())</f>
        <v>#N/A</v>
      </c>
    </row>
    <row r="284" spans="18:25" x14ac:dyDescent="0.25">
      <c r="R284" s="1">
        <f t="shared" ref="R284" si="246">IF(R283=10000, 10000, 0)</f>
        <v>10000</v>
      </c>
      <c r="W284" s="1" t="e">
        <f>IF(NOT(ISBLANK(Data!H286)), Data!H286+Data!I286, NA())</f>
        <v>#N/A</v>
      </c>
      <c r="X284" s="1" t="e">
        <f>IF(NOT(ISBLANK(Data!M286)), Data!M286+Data!N286, NA())</f>
        <v>#N/A</v>
      </c>
      <c r="Y284" s="1" t="e">
        <f>IF(NOT(ISBLANK(Data!Q286)), Data!Q286+Data!R286, NA())</f>
        <v>#N/A</v>
      </c>
    </row>
    <row r="285" spans="18:25" x14ac:dyDescent="0.25">
      <c r="R285" s="1">
        <f t="shared" ref="R285" si="247">IF(R284=10000, 0, 10000)</f>
        <v>0</v>
      </c>
      <c r="W285" s="1" t="e">
        <f>IF(NOT(ISBLANK(Data!H287)), Data!H287+Data!I287, NA())</f>
        <v>#N/A</v>
      </c>
      <c r="X285" s="1" t="e">
        <f>IF(NOT(ISBLANK(Data!M287)), Data!M287+Data!N287, NA())</f>
        <v>#N/A</v>
      </c>
      <c r="Y285" s="1" t="e">
        <f>IF(NOT(ISBLANK(Data!Q287)), Data!Q287+Data!R287, NA())</f>
        <v>#N/A</v>
      </c>
    </row>
    <row r="286" spans="18:25" x14ac:dyDescent="0.25">
      <c r="R286" s="1">
        <f t="shared" ref="R286" si="248">IF(R285=10000, 10000, 0)</f>
        <v>0</v>
      </c>
      <c r="W286" s="1" t="e">
        <f>IF(NOT(ISBLANK(Data!H288)), Data!H288+Data!I288, NA())</f>
        <v>#N/A</v>
      </c>
      <c r="X286" s="1" t="e">
        <f>IF(NOT(ISBLANK(Data!M288)), Data!M288+Data!N288, NA())</f>
        <v>#N/A</v>
      </c>
      <c r="Y286" s="1" t="e">
        <f>IF(NOT(ISBLANK(Data!Q288)), Data!Q288+Data!R288, NA())</f>
        <v>#N/A</v>
      </c>
    </row>
    <row r="287" spans="18:25" x14ac:dyDescent="0.25">
      <c r="R287" s="1">
        <f t="shared" ref="R287" si="249">IF(R286=10000, 0, 10000)</f>
        <v>10000</v>
      </c>
      <c r="W287" s="1" t="e">
        <f>IF(NOT(ISBLANK(Data!H289)), Data!H289+Data!I289, NA())</f>
        <v>#N/A</v>
      </c>
      <c r="X287" s="1" t="e">
        <f>IF(NOT(ISBLANK(Data!M289)), Data!M289+Data!N289, NA())</f>
        <v>#N/A</v>
      </c>
      <c r="Y287" s="1" t="e">
        <f>IF(NOT(ISBLANK(Data!Q289)), Data!Q289+Data!R289, NA())</f>
        <v>#N/A</v>
      </c>
    </row>
    <row r="288" spans="18:25" x14ac:dyDescent="0.25">
      <c r="R288" s="1">
        <f t="shared" ref="R288" si="250">IF(R287=10000, 10000, 0)</f>
        <v>10000</v>
      </c>
      <c r="W288" s="1" t="e">
        <f>IF(NOT(ISBLANK(Data!H290)), Data!H290+Data!I290, NA())</f>
        <v>#N/A</v>
      </c>
      <c r="X288" s="1" t="e">
        <f>IF(NOT(ISBLANK(Data!M290)), Data!M290+Data!N290, NA())</f>
        <v>#N/A</v>
      </c>
      <c r="Y288" s="1" t="e">
        <f>IF(NOT(ISBLANK(Data!Q290)), Data!Q290+Data!R290, NA())</f>
        <v>#N/A</v>
      </c>
    </row>
    <row r="289" spans="18:25" x14ac:dyDescent="0.25">
      <c r="R289" s="1">
        <f t="shared" ref="R289" si="251">IF(R288=10000, 0, 10000)</f>
        <v>0</v>
      </c>
      <c r="W289" s="1" t="e">
        <f>IF(NOT(ISBLANK(Data!H291)), Data!H291+Data!I291, NA())</f>
        <v>#N/A</v>
      </c>
      <c r="X289" s="1" t="e">
        <f>IF(NOT(ISBLANK(Data!M291)), Data!M291+Data!N291, NA())</f>
        <v>#N/A</v>
      </c>
      <c r="Y289" s="1" t="e">
        <f>IF(NOT(ISBLANK(Data!Q291)), Data!Q291+Data!R291, NA())</f>
        <v>#N/A</v>
      </c>
    </row>
    <row r="290" spans="18:25" x14ac:dyDescent="0.25">
      <c r="R290" s="1">
        <f t="shared" ref="R290" si="252">IF(R289=10000, 10000, 0)</f>
        <v>0</v>
      </c>
      <c r="W290" s="1" t="e">
        <f>IF(NOT(ISBLANK(Data!H292)), Data!H292+Data!I292, NA())</f>
        <v>#N/A</v>
      </c>
      <c r="X290" s="1" t="e">
        <f>IF(NOT(ISBLANK(Data!M292)), Data!M292+Data!N292, NA())</f>
        <v>#N/A</v>
      </c>
      <c r="Y290" s="1" t="e">
        <f>IF(NOT(ISBLANK(Data!Q292)), Data!Q292+Data!R292, NA())</f>
        <v>#N/A</v>
      </c>
    </row>
    <row r="291" spans="18:25" x14ac:dyDescent="0.25">
      <c r="R291" s="1">
        <f t="shared" ref="R291" si="253">IF(R290=10000, 0, 10000)</f>
        <v>10000</v>
      </c>
      <c r="W291" s="1" t="e">
        <f>IF(NOT(ISBLANK(Data!H293)), Data!H293+Data!I293, NA())</f>
        <v>#N/A</v>
      </c>
      <c r="X291" s="1" t="e">
        <f>IF(NOT(ISBLANK(Data!M293)), Data!M293+Data!N293, NA())</f>
        <v>#N/A</v>
      </c>
      <c r="Y291" s="1" t="e">
        <f>IF(NOT(ISBLANK(Data!Q293)), Data!Q293+Data!R293, NA())</f>
        <v>#N/A</v>
      </c>
    </row>
    <row r="292" spans="18:25" x14ac:dyDescent="0.25">
      <c r="R292" s="1">
        <f t="shared" ref="R292" si="254">IF(R291=10000, 10000, 0)</f>
        <v>10000</v>
      </c>
      <c r="W292" s="1" t="e">
        <f>IF(NOT(ISBLANK(Data!H294)), Data!H294+Data!I294, NA())</f>
        <v>#N/A</v>
      </c>
      <c r="X292" s="1" t="e">
        <f>IF(NOT(ISBLANK(Data!M294)), Data!M294+Data!N294, NA())</f>
        <v>#N/A</v>
      </c>
      <c r="Y292" s="1" t="e">
        <f>IF(NOT(ISBLANK(Data!Q294)), Data!Q294+Data!R294, NA())</f>
        <v>#N/A</v>
      </c>
    </row>
    <row r="293" spans="18:25" x14ac:dyDescent="0.25">
      <c r="R293" s="1">
        <f t="shared" ref="R293" si="255">IF(R292=10000, 0, 10000)</f>
        <v>0</v>
      </c>
      <c r="W293" s="1" t="e">
        <f>IF(NOT(ISBLANK(Data!H295)), Data!H295+Data!I295, NA())</f>
        <v>#N/A</v>
      </c>
      <c r="X293" s="1" t="e">
        <f>IF(NOT(ISBLANK(Data!M295)), Data!M295+Data!N295, NA())</f>
        <v>#N/A</v>
      </c>
      <c r="Y293" s="1" t="e">
        <f>IF(NOT(ISBLANK(Data!Q295)), Data!Q295+Data!R295, NA())</f>
        <v>#N/A</v>
      </c>
    </row>
    <row r="294" spans="18:25" x14ac:dyDescent="0.25">
      <c r="R294" s="1">
        <f t="shared" ref="R294" si="256">IF(R293=10000, 10000, 0)</f>
        <v>0</v>
      </c>
      <c r="W294" s="1" t="e">
        <f>IF(NOT(ISBLANK(Data!H296)), Data!H296+Data!I296, NA())</f>
        <v>#N/A</v>
      </c>
      <c r="X294" s="1" t="e">
        <f>IF(NOT(ISBLANK(Data!M296)), Data!M296+Data!N296, NA())</f>
        <v>#N/A</v>
      </c>
      <c r="Y294" s="1" t="e">
        <f>IF(NOT(ISBLANK(Data!Q296)), Data!Q296+Data!R296, NA())</f>
        <v>#N/A</v>
      </c>
    </row>
    <row r="295" spans="18:25" x14ac:dyDescent="0.25">
      <c r="R295" s="1">
        <f t="shared" ref="R295" si="257">IF(R294=10000, 0, 10000)</f>
        <v>10000</v>
      </c>
      <c r="W295" s="1" t="e">
        <f>IF(NOT(ISBLANK(Data!H297)), Data!H297+Data!I297, NA())</f>
        <v>#N/A</v>
      </c>
      <c r="X295" s="1" t="e">
        <f>IF(NOT(ISBLANK(Data!M297)), Data!M297+Data!N297, NA())</f>
        <v>#N/A</v>
      </c>
      <c r="Y295" s="1" t="e">
        <f>IF(NOT(ISBLANK(Data!Q297)), Data!Q297+Data!R297, NA())</f>
        <v>#N/A</v>
      </c>
    </row>
    <row r="296" spans="18:25" x14ac:dyDescent="0.25">
      <c r="R296" s="1">
        <f t="shared" ref="R296" si="258">IF(R295=10000, 10000, 0)</f>
        <v>10000</v>
      </c>
      <c r="W296" s="1" t="e">
        <f>IF(NOT(ISBLANK(Data!H298)), Data!H298+Data!I298, NA())</f>
        <v>#N/A</v>
      </c>
      <c r="X296" s="1" t="e">
        <f>IF(NOT(ISBLANK(Data!M298)), Data!M298+Data!N298, NA())</f>
        <v>#N/A</v>
      </c>
      <c r="Y296" s="1" t="e">
        <f>IF(NOT(ISBLANK(Data!Q298)), Data!Q298+Data!R298, NA())</f>
        <v>#N/A</v>
      </c>
    </row>
    <row r="297" spans="18:25" x14ac:dyDescent="0.25">
      <c r="R297" s="1">
        <f t="shared" ref="R297" si="259">IF(R296=10000, 0, 10000)</f>
        <v>0</v>
      </c>
      <c r="W297" s="1" t="e">
        <f>IF(NOT(ISBLANK(Data!H299)), Data!H299+Data!I299, NA())</f>
        <v>#N/A</v>
      </c>
      <c r="X297" s="1" t="e">
        <f>IF(NOT(ISBLANK(Data!M299)), Data!M299+Data!N299, NA())</f>
        <v>#N/A</v>
      </c>
      <c r="Y297" s="1" t="e">
        <f>IF(NOT(ISBLANK(Data!Q299)), Data!Q299+Data!R299, NA())</f>
        <v>#N/A</v>
      </c>
    </row>
    <row r="298" spans="18:25" x14ac:dyDescent="0.25">
      <c r="R298" s="1">
        <f t="shared" ref="R298" si="260">IF(R297=10000, 10000, 0)</f>
        <v>0</v>
      </c>
      <c r="W298" s="1" t="e">
        <f>IF(NOT(ISBLANK(Data!H300)), Data!H300+Data!I300, NA())</f>
        <v>#N/A</v>
      </c>
      <c r="X298" s="1" t="e">
        <f>IF(NOT(ISBLANK(Data!M300)), Data!M300+Data!N300, NA())</f>
        <v>#N/A</v>
      </c>
      <c r="Y298" s="1" t="e">
        <f>IF(NOT(ISBLANK(Data!Q300)), Data!Q300+Data!R300, NA())</f>
        <v>#N/A</v>
      </c>
    </row>
    <row r="299" spans="18:25" x14ac:dyDescent="0.25">
      <c r="R299" s="1">
        <f t="shared" ref="R299" si="261">IF(R298=10000, 0, 10000)</f>
        <v>10000</v>
      </c>
      <c r="W299" s="1" t="e">
        <f>IF(NOT(ISBLANK(Data!H301)), Data!H301+Data!I301, NA())</f>
        <v>#N/A</v>
      </c>
      <c r="X299" s="1" t="e">
        <f>IF(NOT(ISBLANK(Data!M301)), Data!M301+Data!N301, NA())</f>
        <v>#N/A</v>
      </c>
      <c r="Y299" s="1" t="e">
        <f>IF(NOT(ISBLANK(Data!Q301)), Data!Q301+Data!R301, NA())</f>
        <v>#N/A</v>
      </c>
    </row>
    <row r="300" spans="18:25" x14ac:dyDescent="0.25">
      <c r="R300" s="1">
        <f t="shared" ref="R300" si="262">IF(R299=10000, 10000, 0)</f>
        <v>10000</v>
      </c>
      <c r="W300" s="1" t="e">
        <f>IF(NOT(ISBLANK(Data!H302)), Data!H302+Data!I302, NA())</f>
        <v>#N/A</v>
      </c>
      <c r="X300" s="1" t="e">
        <f>IF(NOT(ISBLANK(Data!M302)), Data!M302+Data!N302, NA())</f>
        <v>#N/A</v>
      </c>
      <c r="Y300" s="1" t="e">
        <f>IF(NOT(ISBLANK(Data!Q302)), Data!Q302+Data!R302, NA())</f>
        <v>#N/A</v>
      </c>
    </row>
    <row r="301" spans="18:25" x14ac:dyDescent="0.25">
      <c r="R301" s="1">
        <f t="shared" ref="R301" si="263">IF(R300=10000, 0, 10000)</f>
        <v>0</v>
      </c>
      <c r="W301" s="1" t="e">
        <f>IF(NOT(ISBLANK(Data!H303)), Data!H303+Data!I303, NA())</f>
        <v>#N/A</v>
      </c>
      <c r="X301" s="1" t="e">
        <f>IF(NOT(ISBLANK(Data!M303)), Data!M303+Data!N303, NA())</f>
        <v>#N/A</v>
      </c>
      <c r="Y301" s="1" t="e">
        <f>IF(NOT(ISBLANK(Data!Q303)), Data!Q303+Data!R303, NA())</f>
        <v>#N/A</v>
      </c>
    </row>
    <row r="302" spans="18:25" x14ac:dyDescent="0.25">
      <c r="R302" s="1">
        <f t="shared" ref="R302" si="264">IF(R301=10000, 10000, 0)</f>
        <v>0</v>
      </c>
      <c r="W302" s="1" t="e">
        <f>IF(NOT(ISBLANK(Data!H304)), Data!H304+Data!I304, NA())</f>
        <v>#N/A</v>
      </c>
      <c r="X302" s="1" t="e">
        <f>IF(NOT(ISBLANK(Data!M304)), Data!M304+Data!N304, NA())</f>
        <v>#N/A</v>
      </c>
      <c r="Y302" s="1" t="e">
        <f>IF(NOT(ISBLANK(Data!Q304)), Data!Q304+Data!R304, NA())</f>
        <v>#N/A</v>
      </c>
    </row>
    <row r="303" spans="18:25" x14ac:dyDescent="0.25">
      <c r="R303" s="1">
        <f t="shared" ref="R303" si="265">IF(R302=10000, 0, 10000)</f>
        <v>10000</v>
      </c>
      <c r="W303" s="1" t="e">
        <f>IF(NOT(ISBLANK(Data!H305)), Data!H305+Data!I305, NA())</f>
        <v>#N/A</v>
      </c>
      <c r="X303" s="1" t="e">
        <f>IF(NOT(ISBLANK(Data!M305)), Data!M305+Data!N305, NA())</f>
        <v>#N/A</v>
      </c>
      <c r="Y303" s="1" t="e">
        <f>IF(NOT(ISBLANK(Data!Q305)), Data!Q305+Data!R305, NA())</f>
        <v>#N/A</v>
      </c>
    </row>
    <row r="304" spans="18:25" x14ac:dyDescent="0.25">
      <c r="R304" s="1">
        <f t="shared" ref="R304" si="266">IF(R303=10000, 10000, 0)</f>
        <v>10000</v>
      </c>
      <c r="W304" s="1" t="e">
        <f>IF(NOT(ISBLANK(Data!H306)), Data!H306+Data!I306, NA())</f>
        <v>#N/A</v>
      </c>
      <c r="X304" s="1" t="e">
        <f>IF(NOT(ISBLANK(Data!M306)), Data!M306+Data!N306, NA())</f>
        <v>#N/A</v>
      </c>
      <c r="Y304" s="1" t="e">
        <f>IF(NOT(ISBLANK(Data!Q306)), Data!Q306+Data!R306, NA())</f>
        <v>#N/A</v>
      </c>
    </row>
    <row r="305" spans="18:25" x14ac:dyDescent="0.25">
      <c r="R305" s="1">
        <f t="shared" ref="R305" si="267">IF(R304=10000, 0, 10000)</f>
        <v>0</v>
      </c>
      <c r="W305" s="1" t="e">
        <f>IF(NOT(ISBLANK(Data!H307)), Data!H307+Data!I307, NA())</f>
        <v>#N/A</v>
      </c>
      <c r="X305" s="1" t="e">
        <f>IF(NOT(ISBLANK(Data!M307)), Data!M307+Data!N307, NA())</f>
        <v>#N/A</v>
      </c>
      <c r="Y305" s="1" t="e">
        <f>IF(NOT(ISBLANK(Data!Q307)), Data!Q307+Data!R307, NA())</f>
        <v>#N/A</v>
      </c>
    </row>
    <row r="306" spans="18:25" x14ac:dyDescent="0.25">
      <c r="R306" s="1">
        <f t="shared" ref="R306" si="268">IF(R305=10000, 10000, 0)</f>
        <v>0</v>
      </c>
      <c r="W306" s="1" t="e">
        <f>IF(NOT(ISBLANK(Data!H308)), Data!H308+Data!I308, NA())</f>
        <v>#N/A</v>
      </c>
      <c r="X306" s="1" t="e">
        <f>IF(NOT(ISBLANK(Data!M308)), Data!M308+Data!N308, NA())</f>
        <v>#N/A</v>
      </c>
      <c r="Y306" s="1" t="e">
        <f>IF(NOT(ISBLANK(Data!Q308)), Data!Q308+Data!R308, NA())</f>
        <v>#N/A</v>
      </c>
    </row>
    <row r="307" spans="18:25" x14ac:dyDescent="0.25">
      <c r="R307" s="1">
        <f t="shared" ref="R307" si="269">IF(R306=10000, 0, 10000)</f>
        <v>10000</v>
      </c>
      <c r="W307" s="1" t="e">
        <f>IF(NOT(ISBLANK(Data!H309)), Data!H309+Data!I309, NA())</f>
        <v>#N/A</v>
      </c>
      <c r="X307" s="1" t="e">
        <f>IF(NOT(ISBLANK(Data!M309)), Data!M309+Data!N309, NA())</f>
        <v>#N/A</v>
      </c>
      <c r="Y307" s="1" t="e">
        <f>IF(NOT(ISBLANK(Data!Q309)), Data!Q309+Data!R309, NA())</f>
        <v>#N/A</v>
      </c>
    </row>
    <row r="308" spans="18:25" x14ac:dyDescent="0.25">
      <c r="R308" s="1">
        <f t="shared" ref="R308" si="270">IF(R307=10000, 10000, 0)</f>
        <v>10000</v>
      </c>
      <c r="W308" s="1" t="e">
        <f>IF(NOT(ISBLANK(Data!H310)), Data!H310+Data!I310, NA())</f>
        <v>#N/A</v>
      </c>
      <c r="X308" s="1" t="e">
        <f>IF(NOT(ISBLANK(Data!M310)), Data!M310+Data!N310, NA())</f>
        <v>#N/A</v>
      </c>
      <c r="Y308" s="1" t="e">
        <f>IF(NOT(ISBLANK(Data!Q310)), Data!Q310+Data!R310, NA())</f>
        <v>#N/A</v>
      </c>
    </row>
    <row r="309" spans="18:25" x14ac:dyDescent="0.25">
      <c r="R309" s="1">
        <f t="shared" ref="R309" si="271">IF(R308=10000, 0, 10000)</f>
        <v>0</v>
      </c>
      <c r="W309" s="1" t="e">
        <f>IF(NOT(ISBLANK(Data!H311)), Data!H311+Data!I311, NA())</f>
        <v>#N/A</v>
      </c>
      <c r="X309" s="1" t="e">
        <f>IF(NOT(ISBLANK(Data!M311)), Data!M311+Data!N311, NA())</f>
        <v>#N/A</v>
      </c>
      <c r="Y309" s="1" t="e">
        <f>IF(NOT(ISBLANK(Data!Q311)), Data!Q311+Data!R311, NA())</f>
        <v>#N/A</v>
      </c>
    </row>
    <row r="310" spans="18:25" x14ac:dyDescent="0.25">
      <c r="R310" s="1">
        <f t="shared" ref="R310" si="272">IF(R309=10000, 10000, 0)</f>
        <v>0</v>
      </c>
      <c r="W310" s="1" t="e">
        <f>IF(NOT(ISBLANK(Data!H312)), Data!H312+Data!I312, NA())</f>
        <v>#N/A</v>
      </c>
      <c r="X310" s="1" t="e">
        <f>IF(NOT(ISBLANK(Data!M312)), Data!M312+Data!N312, NA())</f>
        <v>#N/A</v>
      </c>
      <c r="Y310" s="1" t="e">
        <f>IF(NOT(ISBLANK(Data!Q312)), Data!Q312+Data!R312, NA())</f>
        <v>#N/A</v>
      </c>
    </row>
  </sheetData>
  <sheetProtection selectLockedCells="1" selectUnlockedCells="1"/>
  <pageMargins left="0.7" right="0.7" top="0.75" bottom="0.75" header="0.3" footer="0.3"/>
  <pageSetup orientation="portrait" r:id="rId1"/>
  <ignoredErrors>
    <ignoredError sqref="R5 R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Graphs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2022-05-10T03:59:05Z</dcterms:created>
  <dcterms:modified xsi:type="dcterms:W3CDTF">2022-05-12T10:39:19Z</dcterms:modified>
</cp:coreProperties>
</file>